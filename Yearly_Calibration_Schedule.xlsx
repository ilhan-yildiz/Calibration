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579" firstSheet="0" activeTab="1" autoFilterDateGrouping="1"/>
  </bookViews>
  <sheets>
    <sheet name="index" sheetId="1" state="visible" r:id="rId1"/>
    <sheet name="Tx Detail List" sheetId="2" state="visible" r:id="rId2"/>
    <sheet name="Reject List" sheetId="3" state="visible" r:id="rId3"/>
    <sheet name="Kalibrasyon Ekipmanları" sheetId="4" state="visible" r:id="rId4"/>
    <sheet name="PRINT" sheetId="5" state="visible" r:id="rId5"/>
    <sheet name="Tx Detail List (old)" sheetId="6" state="visible" r:id="rId6"/>
    <sheet name="Backup202604_06" sheetId="7" state="visible" r:id="rId7"/>
    <sheet name="Tx  List (2)" sheetId="8" state="hidden" r:id="rId8"/>
  </sheets>
  <definedNames>
    <definedName name="_xlnm.Print_Area" localSheetId="1">'Tx Detail List'!$A$1:$T$377</definedName>
    <definedName name="_xlnm._FilterDatabase" localSheetId="5" hidden="1">'Tx Detail List (old)'!$A$2:$T$379</definedName>
    <definedName name="_xlnm.Print_Area" localSheetId="5">'Tx Detail List (old)'!$A$2:$T$379</definedName>
    <definedName name="_xlnm.Print_Area" localSheetId="6">'Backup202604_06'!$A$1:$T$377</definedName>
    <definedName name="_xlnm.Print_Area" localSheetId="7">'Tx  List (2)'!$A$1:$R$331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mm/yyyy"/>
    <numFmt numFmtId="166" formatCode="dd\.mm\.yyyy;@"/>
    <numFmt numFmtId="167" formatCode="0.000"/>
    <numFmt numFmtId="168" formatCode="dd\.mm\.yyyy"/>
  </numFmts>
  <fonts count="19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family val="2"/>
      <color theme="1"/>
      <sz val="20"/>
      <scheme val="minor"/>
    </font>
    <font>
      <name val="Calibri"/>
      <charset val="162"/>
      <family val="2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00"/>
      <sz val="22"/>
      <scheme val="minor"/>
    </font>
    <font>
      <name val="Calibri"/>
      <family val="2"/>
      <b val="1"/>
      <color theme="1"/>
      <sz val="7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color theme="1"/>
      <sz val="14"/>
      <scheme val="minor"/>
    </font>
    <font>
      <name val="Calibri"/>
      <charset val="162"/>
      <family val="2"/>
      <b val="1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charset val="162"/>
      <family val="2"/>
      <b val="1"/>
      <color rgb="FF3F3F3F"/>
      <sz val="11"/>
      <scheme val="minor"/>
    </font>
    <font>
      <name val="Arial"/>
      <charset val="162"/>
      <family val="2"/>
      <sz val="10"/>
    </font>
    <font>
      <name val="Calibri"/>
      <family val="2"/>
      <b val="1"/>
      <color theme="1"/>
      <sz val="48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15">
    <fill>
      <patternFill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</patternFill>
    </fill>
    <fill>
      <patternFill patternType="solid">
        <fgColor rgb="0000FF00"/>
        <bgColor rgb="0000FF00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2" fillId="13" borderId="30"/>
    <xf numFmtId="0" fontId="13" fillId="0" borderId="0"/>
  </cellStyleXfs>
  <cellXfs count="124">
    <xf numFmtId="0" fontId="0" fillId="0" borderId="0" pivotButton="0" quotePrefix="0" xfId="0"/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49" fontId="0" fillId="1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5" borderId="6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49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14" fontId="0" fillId="5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0" fontId="1" fillId="4" borderId="10" applyAlignment="1" pivotButton="0" quotePrefix="0" xfId="0">
      <alignment horizontal="center" vertical="center" wrapText="1"/>
    </xf>
    <xf numFmtId="2" fontId="2" fillId="8" borderId="4" applyAlignment="1" pivotButton="0" quotePrefix="0" xfId="0">
      <alignment horizontal="center" vertical="center"/>
    </xf>
    <xf numFmtId="2" fontId="2" fillId="8" borderId="6" applyAlignment="1" pivotButton="0" quotePrefix="0" xfId="0">
      <alignment horizontal="center" vertical="center"/>
    </xf>
    <xf numFmtId="0" fontId="8" fillId="7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49" fontId="0" fillId="9" borderId="1" applyAlignment="1" pivotButton="0" quotePrefix="0" xfId="0">
      <alignment horizontal="center" vertical="center" wrapText="1"/>
    </xf>
    <xf numFmtId="14" fontId="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14" fontId="0" fillId="9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10" borderId="1" applyAlignment="1" pivotButton="0" quotePrefix="0" xfId="0">
      <alignment horizontal="center" vertical="center"/>
    </xf>
    <xf numFmtId="49" fontId="10" fillId="1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  <xf numFmtId="49" fontId="0" fillId="0" borderId="16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49" fontId="0" fillId="0" borderId="19" applyAlignment="1" pivotButton="0" quotePrefix="0" xfId="0">
      <alignment horizontal="center" vertical="center"/>
    </xf>
    <xf numFmtId="49" fontId="0" fillId="0" borderId="20" applyAlignment="1" pivotButton="0" quotePrefix="0" xfId="0">
      <alignment horizontal="center" vertical="center"/>
    </xf>
    <xf numFmtId="0" fontId="11" fillId="6" borderId="21" applyAlignment="1" pivotButton="0" quotePrefix="0" xfId="0">
      <alignment horizontal="center" vertical="center"/>
    </xf>
    <xf numFmtId="0" fontId="11" fillId="2" borderId="22" applyAlignment="1" pivotButton="0" quotePrefix="0" xfId="0">
      <alignment horizontal="center" vertical="center" wrapText="1"/>
    </xf>
    <xf numFmtId="0" fontId="11" fillId="3" borderId="22" applyAlignment="1" pivotButton="0" quotePrefix="0" xfId="0">
      <alignment horizontal="center" vertical="center"/>
    </xf>
    <xf numFmtId="0" fontId="11" fillId="3" borderId="22" applyAlignment="1" pivotButton="0" quotePrefix="0" xfId="0">
      <alignment horizontal="center" vertical="center" wrapText="1"/>
    </xf>
    <xf numFmtId="0" fontId="11" fillId="3" borderId="23" applyAlignment="1" pivotButton="0" quotePrefix="0" xfId="0">
      <alignment horizontal="center" vertical="center" wrapText="1"/>
    </xf>
    <xf numFmtId="0" fontId="2" fillId="8" borderId="26" applyAlignment="1" pivotButton="0" quotePrefix="0" xfId="0">
      <alignment horizontal="left"/>
    </xf>
    <xf numFmtId="0" fontId="2" fillId="8" borderId="27" applyAlignment="1" pivotButton="0" quotePrefix="0" xfId="0">
      <alignment horizontal="left"/>
    </xf>
    <xf numFmtId="0" fontId="2" fillId="8" borderId="2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2" fontId="2" fillId="9" borderId="16" applyAlignment="1" pivotButton="0" quotePrefix="0" xfId="0">
      <alignment horizontal="center" vertical="center"/>
    </xf>
    <xf numFmtId="0" fontId="2" fillId="8" borderId="28" applyAlignment="1" pivotButton="0" quotePrefix="0" xfId="0">
      <alignment horizontal="left"/>
    </xf>
    <xf numFmtId="0" fontId="2" fillId="8" borderId="24" applyAlignment="1" pivotButton="0" quotePrefix="0" xfId="0">
      <alignment horizontal="center" vertical="center"/>
    </xf>
    <xf numFmtId="2" fontId="2" fillId="8" borderId="25" applyAlignment="1" pivotButton="0" quotePrefix="0" xfId="0">
      <alignment horizontal="center" vertical="center"/>
    </xf>
    <xf numFmtId="0" fontId="2" fillId="11" borderId="26" applyAlignment="1" pivotButton="0" quotePrefix="0" xfId="0">
      <alignment horizontal="left"/>
    </xf>
    <xf numFmtId="0" fontId="2" fillId="11" borderId="2" applyAlignment="1" pivotButton="0" quotePrefix="0" xfId="0">
      <alignment horizontal="center" vertical="center"/>
    </xf>
    <xf numFmtId="2" fontId="2" fillId="11" borderId="4" applyAlignment="1" pivotButton="0" quotePrefix="0" xfId="0">
      <alignment horizontal="center" vertical="center"/>
    </xf>
    <xf numFmtId="0" fontId="2" fillId="9" borderId="29" applyAlignment="1" pivotButton="0" quotePrefix="0" xfId="0">
      <alignment horizontal="left"/>
    </xf>
    <xf numFmtId="0" fontId="5" fillId="12" borderId="17" applyAlignment="1" pivotButton="0" quotePrefix="0" xfId="0">
      <alignment horizontal="center" vertical="center"/>
    </xf>
    <xf numFmtId="2" fontId="0" fillId="10" borderId="1" applyAlignment="1" pivotButton="0" quotePrefix="0" xfId="0">
      <alignment horizontal="center" vertical="center"/>
    </xf>
    <xf numFmtId="0" fontId="13" fillId="0" borderId="0" pivotButton="0" quotePrefix="0" xfId="2"/>
    <xf numFmtId="165" fontId="13" fillId="0" borderId="0" applyAlignment="1" pivotButton="0" quotePrefix="0" xfId="2">
      <alignment horizontal="center"/>
    </xf>
    <xf numFmtId="0" fontId="12" fillId="13" borderId="30" applyAlignment="1" pivotButton="0" quotePrefix="0" xfId="1">
      <alignment horizontal="center" vertical="center"/>
    </xf>
    <xf numFmtId="0" fontId="12" fillId="13" borderId="30" pivotButton="0" quotePrefix="0" xfId="1"/>
    <xf numFmtId="165" fontId="12" fillId="13" borderId="30" applyAlignment="1" pivotButton="0" quotePrefix="0" xfId="1">
      <alignment horizontal="center"/>
    </xf>
    <xf numFmtId="0" fontId="13" fillId="0" borderId="0" applyAlignment="1" pivotButton="0" quotePrefix="0" xfId="2">
      <alignment horizontal="center"/>
    </xf>
    <xf numFmtId="0" fontId="0" fillId="0" borderId="0" applyAlignment="1" pivotButton="0" quotePrefix="0" xfId="0">
      <alignment horizontal="right" vertical="center"/>
    </xf>
    <xf numFmtId="0" fontId="1" fillId="6" borderId="3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0" fontId="2" fillId="8" borderId="1" applyAlignment="1" pivotButton="0" quotePrefix="0" xfId="0">
      <alignment horizontal="left"/>
    </xf>
    <xf numFmtId="0" fontId="2" fillId="8" borderId="1" applyAlignment="1" pivotButton="0" quotePrefix="0" xfId="0">
      <alignment horizontal="center" vertical="center"/>
    </xf>
    <xf numFmtId="0" fontId="16" fillId="0" borderId="18" applyAlignment="1" pivotButton="0" quotePrefix="0" xfId="0">
      <alignment horizontal="center" vertical="center"/>
    </xf>
    <xf numFmtId="0" fontId="16" fillId="0" borderId="19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0" fontId="16" fillId="0" borderId="8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49" fontId="16" fillId="0" borderId="1" applyAlignment="1" pivotButton="0" quotePrefix="0" xfId="0">
      <alignment horizontal="center" vertical="center"/>
    </xf>
    <xf numFmtId="49" fontId="16" fillId="0" borderId="6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49" fontId="16" fillId="0" borderId="8" applyAlignment="1" pivotButton="0" quotePrefix="0" xfId="0">
      <alignment horizontal="center" vertical="center"/>
    </xf>
    <xf numFmtId="49" fontId="16" fillId="0" borderId="16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4" fontId="0" fillId="10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right" vertical="center"/>
    </xf>
    <xf numFmtId="14" fontId="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horizontal="right" vertical="center"/>
    </xf>
    <xf numFmtId="168" fontId="0" fillId="0" borderId="1" applyAlignment="1" pivotButton="0" quotePrefix="0" xfId="0">
      <alignment horizontal="center" vertical="center"/>
    </xf>
    <xf numFmtId="0" fontId="8" fillId="7" borderId="14" applyAlignment="1" pivotButton="0" quotePrefix="0" xfId="0">
      <alignment horizontal="center" vertical="center"/>
    </xf>
    <xf numFmtId="0" fontId="8" fillId="7" borderId="15" applyAlignment="1" pivotButton="0" quotePrefix="0" xfId="0">
      <alignment horizontal="center" vertical="center"/>
    </xf>
    <xf numFmtId="0" fontId="15" fillId="8" borderId="26" applyAlignment="1" pivotButton="0" quotePrefix="0" xfId="0">
      <alignment horizontal="center" vertical="center"/>
    </xf>
    <xf numFmtId="0" fontId="15" fillId="8" borderId="29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14" fillId="8" borderId="4" applyAlignment="1" pivotButton="0" quotePrefix="0" xfId="0">
      <alignment horizontal="center" vertical="center"/>
    </xf>
    <xf numFmtId="0" fontId="14" fillId="8" borderId="7" applyAlignment="1" pivotButton="0" quotePrefix="0" xfId="0">
      <alignment horizontal="center" vertical="center"/>
    </xf>
    <xf numFmtId="0" fontId="14" fillId="8" borderId="16" applyAlignment="1" pivotButton="0" quotePrefix="0" xfId="0">
      <alignment horizontal="center" vertical="center"/>
    </xf>
    <xf numFmtId="10" fontId="6" fillId="12" borderId="12" applyAlignment="1" pivotButton="0" quotePrefix="0" xfId="0">
      <alignment horizontal="center" vertical="center"/>
    </xf>
    <xf numFmtId="10" fontId="6" fillId="12" borderId="13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12" pivotButton="0" quotePrefix="0" xfId="0"/>
    <xf numFmtId="0" fontId="0" fillId="0" borderId="35" pivotButton="0" quotePrefix="0" xfId="0"/>
    <xf numFmtId="0" fontId="0" fillId="0" borderId="37" pivotButton="0" quotePrefix="0" xfId="0"/>
    <xf numFmtId="0" fontId="0" fillId="0" borderId="13" pivotButton="0" quotePrefix="0" xfId="0"/>
    <xf numFmtId="164" fontId="0" fillId="14" borderId="1" applyAlignment="1" pivotButton="0" quotePrefix="0" xfId="0">
      <alignment horizontal="center" vertical="center"/>
    </xf>
  </cellXfs>
  <cellStyles count="3">
    <cellStyle name="Normal" xfId="0" builtinId="0"/>
    <cellStyle name="Output" xfId="1" builtinId="21"/>
    <cellStyle name="Normal 2" xfId="2"/>
  </cellStyles>
  <dxfs count="72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B2:K15"/>
  <sheetViews>
    <sheetView showGridLines="0" zoomScale="110" zoomScaleNormal="110" workbookViewId="0">
      <selection activeCell="E13" sqref="E13"/>
    </sheetView>
  </sheetViews>
  <sheetFormatPr baseColWidth="8" defaultRowHeight="15"/>
  <cols>
    <col width="33.85546875" customWidth="1" min="2" max="2"/>
    <col width="17.7109375" customWidth="1" min="3" max="3"/>
    <col width="17" customWidth="1" min="4" max="4"/>
    <col width="57.28515625" customWidth="1" min="5" max="5"/>
    <col width="6.7109375" customWidth="1" min="6" max="6"/>
    <col width="24.42578125" customWidth="1" min="7" max="7"/>
    <col width="18.7109375" customWidth="1" min="8" max="8"/>
    <col width="8.7109375" customWidth="1" min="9" max="9"/>
    <col width="20" bestFit="1" customWidth="1" min="10" max="10"/>
    <col width="40" bestFit="1" customWidth="1" min="11" max="11"/>
  </cols>
  <sheetData>
    <row r="1" ht="33" customHeight="1" thickBot="1"/>
    <row r="2" ht="32.25" customHeight="1" thickBot="1">
      <c r="B2" s="108" t="inlineStr">
        <is>
          <t>Normal Time</t>
        </is>
      </c>
      <c r="C2" s="118" t="n"/>
      <c r="D2" s="27" t="inlineStr">
        <is>
          <t>%</t>
        </is>
      </c>
      <c r="E2" s="74" t="inlineStr">
        <is>
          <t>Completed</t>
        </is>
      </c>
    </row>
    <row r="3" ht="26.25" customHeight="1">
      <c r="B3" s="61" t="inlineStr">
        <is>
          <t>Pressure</t>
        </is>
      </c>
      <c r="C3" s="63">
        <f>COUNTIF('Tx Detail List'!C:C,"*CP*")</f>
        <v/>
      </c>
      <c r="D3" s="25">
        <f>C3/C9%</f>
        <v/>
      </c>
      <c r="E3" s="117">
        <f>(C7/C9)</f>
        <v/>
      </c>
    </row>
    <row r="4" ht="26.25" customHeight="1">
      <c r="B4" s="62" t="inlineStr">
        <is>
          <t>Flow</t>
        </is>
      </c>
      <c r="C4" s="64">
        <f>COUNTIF('Tx Detail List'!C:C,"*CF*")</f>
        <v/>
      </c>
      <c r="D4" s="26">
        <f>C4/C9%</f>
        <v/>
      </c>
      <c r="E4" s="119" t="n"/>
    </row>
    <row r="5" ht="26.25" customHeight="1">
      <c r="B5" s="62" t="inlineStr">
        <is>
          <t>Temperature</t>
        </is>
      </c>
      <c r="C5" s="64">
        <f>COUNTIF('Tx Detail List'!C:C,"*CT*")</f>
        <v/>
      </c>
      <c r="D5" s="26">
        <f>C5/C9%</f>
        <v/>
      </c>
      <c r="E5" s="119" t="n"/>
    </row>
    <row r="6" ht="27" customHeight="1" thickBot="1">
      <c r="B6" s="67" t="inlineStr">
        <is>
          <t>Level</t>
        </is>
      </c>
      <c r="C6" s="68">
        <f>COUNTIF('Tx Detail List'!C:C,"*CL*")</f>
        <v/>
      </c>
      <c r="D6" s="69">
        <f>C6/C9%</f>
        <v/>
      </c>
      <c r="E6" s="119" t="n"/>
      <c r="K6" s="38" t="n"/>
    </row>
    <row r="7" ht="26.25" customHeight="1">
      <c r="B7" s="70" t="inlineStr">
        <is>
          <t>Calibrated Total</t>
        </is>
      </c>
      <c r="C7" s="71">
        <f>COUNTIF('Tx Detail List'!N:N,"Calibrated")</f>
        <v/>
      </c>
      <c r="D7" s="72">
        <f>(C7/C9)*100</f>
        <v/>
      </c>
      <c r="E7" s="119" t="n"/>
    </row>
    <row r="8" ht="27" customHeight="1" thickBot="1">
      <c r="B8" s="73" t="inlineStr">
        <is>
          <t>Waiting Total</t>
        </is>
      </c>
      <c r="C8" s="65">
        <f>COUNTIF('Tx Detail List'!N:N,"Waiting")</f>
        <v/>
      </c>
      <c r="D8" s="66">
        <f>(C8/C9)*100</f>
        <v/>
      </c>
      <c r="E8" s="119" t="n"/>
    </row>
    <row r="9" ht="35.1" customHeight="1">
      <c r="B9" s="110" t="inlineStr">
        <is>
          <t>Total Tx</t>
        </is>
      </c>
      <c r="C9" s="112">
        <f>C7+C8</f>
        <v/>
      </c>
      <c r="D9" s="118" t="n"/>
      <c r="E9" s="119" t="n"/>
      <c r="I9" t="inlineStr">
        <is>
          <t> </t>
        </is>
      </c>
    </row>
    <row r="10" ht="35.1" customHeight="1" thickBot="1">
      <c r="B10" s="120" t="n"/>
      <c r="C10" s="120" t="n"/>
      <c r="D10" s="121" t="n"/>
      <c r="E10" s="122" t="n"/>
      <c r="I10" t="inlineStr">
        <is>
          <t> </t>
        </is>
      </c>
    </row>
    <row r="11" ht="35.1" customHeight="1">
      <c r="I11" t="inlineStr">
        <is>
          <t> </t>
        </is>
      </c>
    </row>
    <row r="12" ht="26.25" customHeight="1">
      <c r="B12" s="86" t="inlineStr">
        <is>
          <t>KIPP00*</t>
        </is>
      </c>
      <c r="C12" s="87">
        <f>COUNTIF('Tx Detail List'!B:B,B12)</f>
        <v/>
      </c>
    </row>
    <row r="13" ht="26.25" customHeight="1">
      <c r="B13" s="86" t="inlineStr">
        <is>
          <t>KIPP10*</t>
        </is>
      </c>
      <c r="C13" s="87">
        <f>COUNTIF('Tx Detail List'!B:B,B13)</f>
        <v/>
      </c>
    </row>
    <row r="14" ht="26.25" customHeight="1">
      <c r="B14" s="86" t="inlineStr">
        <is>
          <t>KIPP11*</t>
        </is>
      </c>
      <c r="C14" s="87">
        <f>COUNTIF('Tx Detail List'!B:B,B14)</f>
        <v/>
      </c>
    </row>
    <row r="15" ht="26.25" customHeight="1">
      <c r="B15" s="86" t="inlineStr">
        <is>
          <t>KIPP12*</t>
        </is>
      </c>
      <c r="C15" s="87">
        <f>COUNTIF('Tx Detail List'!B:B,B15)</f>
        <v/>
      </c>
    </row>
  </sheetData>
  <mergeCells count="4">
    <mergeCell ref="B9:B10"/>
    <mergeCell ref="B2:C2"/>
    <mergeCell ref="C9:D10"/>
    <mergeCell ref="E3:E10"/>
  </mergeCells>
  <pageMargins left="0.7" right="0.7" top="0.75" bottom="0.75" header="0.3" footer="0.3"/>
  <pageSetup orientation="portrait" paperSize="9"/>
  <headerFooter>
    <oddHeader/>
    <oddFooter>&amp;C&amp;"Calibri"&amp;10 &amp;K008000_x000d_# NOMAC | Public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T433"/>
  <sheetViews>
    <sheetView tabSelected="1" view="pageBreakPreview" zoomScale="80" zoomScaleNormal="115" zoomScaleSheetLayoutView="80" zoomScalePageLayoutView="70" workbookViewId="0">
      <pane ySplit="1" topLeftCell="A2" activePane="bottomLeft" state="frozen"/>
      <selection pane="bottomLeft" activeCell="I6" sqref="I6"/>
    </sheetView>
  </sheetViews>
  <sheetFormatPr baseColWidth="8" defaultRowHeight="15"/>
  <cols>
    <col width="6.7109375" customWidth="1" min="1" max="1"/>
    <col width="8.5703125" customWidth="1" min="2" max="2"/>
    <col width="20.7109375" customWidth="1" style="5" min="3" max="3"/>
    <col width="47.140625" bestFit="1" customWidth="1" style="35" min="4" max="4"/>
    <col width="12.5703125" customWidth="1" style="85" min="5" max="5"/>
    <col width="12.7109375" customWidth="1" style="36" min="6" max="9"/>
    <col width="12.7109375" customWidth="1" style="35" min="10" max="10"/>
    <col width="16.5703125" bestFit="1" customWidth="1" style="36" min="11" max="11"/>
    <col width="12.7109375" customWidth="1" style="36" min="12" max="12"/>
    <col width="12.7109375" customWidth="1" style="35" min="13" max="14"/>
    <col width="12.7109375" customWidth="1" min="15" max="15"/>
    <col width="8.7109375" customWidth="1" min="16" max="16"/>
    <col width="8.7109375" customWidth="1" style="36" min="17" max="17"/>
    <col width="30.42578125" customWidth="1" style="36" min="18" max="18"/>
    <col width="20.7109375" customWidth="1" style="36" min="19" max="19"/>
    <col width="53.7109375" customWidth="1" style="35" min="20" max="20"/>
  </cols>
  <sheetData>
    <row r="1" ht="15.75" customFormat="1" customHeight="1" s="5" thickBot="1">
      <c r="C1" s="5" t="n">
        <v>1</v>
      </c>
      <c r="D1" s="5" t="n">
        <v>2</v>
      </c>
      <c r="E1" s="5" t="n">
        <v>3</v>
      </c>
      <c r="F1" s="5" t="n">
        <v>4</v>
      </c>
      <c r="G1" s="5" t="n">
        <v>5</v>
      </c>
      <c r="H1" s="5" t="n">
        <v>6</v>
      </c>
      <c r="I1" s="5" t="n">
        <v>7</v>
      </c>
      <c r="J1" s="5" t="n">
        <v>8</v>
      </c>
      <c r="K1" s="5" t="n">
        <v>9</v>
      </c>
      <c r="L1" s="5" t="n">
        <v>10</v>
      </c>
      <c r="M1" s="5" t="n">
        <v>11</v>
      </c>
      <c r="N1" s="5" t="n">
        <v>12</v>
      </c>
      <c r="O1" s="5" t="n">
        <v>13</v>
      </c>
      <c r="P1" s="5" t="n">
        <v>14</v>
      </c>
      <c r="Q1" s="5" t="n">
        <v>15</v>
      </c>
      <c r="R1" s="5" t="n">
        <v>16</v>
      </c>
      <c r="S1" s="5" t="n">
        <v>17</v>
      </c>
      <c r="T1" s="5" t="n">
        <v>18</v>
      </c>
    </row>
    <row r="2" ht="47.25" customHeight="1">
      <c r="A2" s="7" t="inlineStr">
        <is>
          <t>No</t>
        </is>
      </c>
      <c r="B2" s="83" t="inlineStr">
        <is>
          <t>Group</t>
        </is>
      </c>
      <c r="C2" s="23" t="inlineStr">
        <is>
          <t>Functional Location</t>
        </is>
      </c>
      <c r="D2" s="9" t="inlineStr">
        <is>
          <t>Description</t>
        </is>
      </c>
      <c r="E2" s="10" t="inlineStr">
        <is>
          <t>Calibration Date</t>
        </is>
      </c>
      <c r="F2" s="10" t="inlineStr">
        <is>
          <t>Sensor LRV</t>
        </is>
      </c>
      <c r="G2" s="10" t="inlineStr">
        <is>
          <t>Sensor URV</t>
        </is>
      </c>
      <c r="H2" s="10" t="inlineStr">
        <is>
          <t>Calibrated LRV</t>
        </is>
      </c>
      <c r="I2" s="10" t="inlineStr">
        <is>
          <t>Calibrated URV</t>
        </is>
      </c>
      <c r="J2" s="10" t="inlineStr">
        <is>
          <t>Unit</t>
        </is>
      </c>
      <c r="K2" s="10" t="inlineStr">
        <is>
          <t>Customer</t>
        </is>
      </c>
      <c r="L2" s="10" t="inlineStr">
        <is>
          <t>Sensor Model</t>
        </is>
      </c>
      <c r="M2" s="10" t="inlineStr">
        <is>
          <t>Tx Serial No.</t>
        </is>
      </c>
      <c r="N2" s="11" t="inlineStr">
        <is>
          <t>Tx Status</t>
        </is>
      </c>
      <c r="O2" s="12" t="inlineStr">
        <is>
          <t>SAP Ekipman Kodu</t>
        </is>
      </c>
      <c r="P2" s="6" t="inlineStr">
        <is>
          <t>Order Type</t>
        </is>
      </c>
      <c r="Q2" s="11" t="inlineStr">
        <is>
          <t>SAP
Status</t>
        </is>
      </c>
      <c r="R2" s="24" t="inlineStr">
        <is>
          <t>Full Model Number</t>
        </is>
      </c>
      <c r="S2" s="24" t="inlineStr">
        <is>
          <t>Panel KKS</t>
        </is>
      </c>
      <c r="T2" s="24" t="inlineStr">
        <is>
          <t>Comments</t>
        </is>
      </c>
    </row>
    <row r="3" ht="30" customFormat="1" customHeight="1" s="5">
      <c r="A3" s="17" t="n">
        <v>1</v>
      </c>
      <c r="B3" s="17" t="inlineStr">
        <is>
          <t>KIPP00</t>
        </is>
      </c>
      <c r="C3" s="2" t="inlineStr">
        <is>
          <t>00GHC01CP101</t>
        </is>
      </c>
      <c r="D3" s="14" t="inlineStr">
        <is>
          <t>DEMIN WATER PUMP-A SUCTION PRESS.</t>
        </is>
      </c>
      <c r="E3" s="123" t="inlineStr">
        <is>
          <t>2026-04-13</t>
        </is>
      </c>
      <c r="F3" s="103" t="n">
        <v>-1</v>
      </c>
      <c r="G3" s="103" t="n">
        <v>20</v>
      </c>
      <c r="H3" s="103" t="n">
        <v>-1</v>
      </c>
      <c r="I3" s="103" t="n">
        <v>4</v>
      </c>
      <c r="J3" s="4" t="inlineStr">
        <is>
          <t>Bar</t>
        </is>
      </c>
      <c r="K3" s="33" t="inlineStr">
        <is>
          <t>YOKOGAWA</t>
        </is>
      </c>
      <c r="L3" s="33" t="inlineStr">
        <is>
          <t>EJA530E</t>
        </is>
      </c>
      <c r="M3" s="20" t="inlineStr">
        <is>
          <t>91S313262</t>
        </is>
      </c>
      <c r="N3" s="2">
        <f>IF(E3="","Waiting","Calibrated")</f>
        <v/>
      </c>
      <c r="O3" s="2" t="n"/>
      <c r="P3" s="2" t="inlineStr">
        <is>
          <t>ZM06</t>
        </is>
      </c>
      <c r="Q3" s="2" t="n"/>
      <c r="R3" s="28" t="n"/>
      <c r="S3" s="28" t="n"/>
      <c r="T3" s="32" t="n"/>
    </row>
    <row r="4" ht="30" customFormat="1" customHeight="1" s="5">
      <c r="A4" s="17" t="n">
        <v>2</v>
      </c>
      <c r="B4" s="17" t="inlineStr">
        <is>
          <t>KIPP00</t>
        </is>
      </c>
      <c r="C4" s="2" t="inlineStr">
        <is>
          <t>00GHC01CP102</t>
        </is>
      </c>
      <c r="D4" s="14" t="inlineStr">
        <is>
          <t>DEMIN WATER PUMP-A SUCTION FILTER DP</t>
        </is>
      </c>
      <c r="E4" s="37" t="n"/>
      <c r="F4" s="103" t="n">
        <v>-5000</v>
      </c>
      <c r="G4" s="103" t="n">
        <v>5000</v>
      </c>
      <c r="H4" s="103" t="n">
        <v>0</v>
      </c>
      <c r="I4" s="103" t="n">
        <v>1500</v>
      </c>
      <c r="J4" s="4" t="inlineStr">
        <is>
          <t>mBar</t>
        </is>
      </c>
      <c r="K4" s="33" t="inlineStr">
        <is>
          <t>YOKOGAWA</t>
        </is>
      </c>
      <c r="L4" s="33" t="inlineStr">
        <is>
          <t>EJA110E</t>
        </is>
      </c>
      <c r="M4" s="20" t="inlineStr">
        <is>
          <t>91S313090</t>
        </is>
      </c>
      <c r="N4" s="2">
        <f>IF(E4="","Waiting","Calibrated")</f>
        <v/>
      </c>
      <c r="O4" s="2" t="n"/>
      <c r="P4" s="2" t="inlineStr">
        <is>
          <t>ZM06</t>
        </is>
      </c>
      <c r="Q4" s="2" t="n"/>
      <c r="R4" s="28" t="n"/>
      <c r="S4" s="28" t="n"/>
      <c r="T4" s="32" t="n"/>
    </row>
    <row r="5" ht="30" customFormat="1" customHeight="1" s="5">
      <c r="A5" s="17" t="n">
        <v>3</v>
      </c>
      <c r="B5" s="17" t="inlineStr">
        <is>
          <t>KIPP00</t>
        </is>
      </c>
      <c r="C5" s="2" t="inlineStr">
        <is>
          <t>00GHC02CP101</t>
        </is>
      </c>
      <c r="D5" s="14" t="inlineStr">
        <is>
          <t>DEMIN WATER PUMP-B SUCTION PRESS.</t>
        </is>
      </c>
      <c r="E5" s="37" t="n"/>
      <c r="F5" s="103" t="n">
        <v>-1</v>
      </c>
      <c r="G5" s="103" t="n">
        <v>20</v>
      </c>
      <c r="H5" s="103" t="n">
        <v>-1</v>
      </c>
      <c r="I5" s="103" t="n">
        <v>4</v>
      </c>
      <c r="J5" s="4" t="inlineStr">
        <is>
          <t>Bar</t>
        </is>
      </c>
      <c r="K5" s="33" t="inlineStr">
        <is>
          <t>YOKOGAWA</t>
        </is>
      </c>
      <c r="L5" s="33" t="inlineStr">
        <is>
          <t>EJA530E</t>
        </is>
      </c>
      <c r="M5" s="20" t="inlineStr">
        <is>
          <t>91S313263</t>
        </is>
      </c>
      <c r="N5" s="2">
        <f>IF(E5="","Waiting","Calibrated")</f>
        <v/>
      </c>
      <c r="O5" s="2" t="n"/>
      <c r="P5" s="2" t="inlineStr">
        <is>
          <t>ZM06</t>
        </is>
      </c>
      <c r="Q5" s="2" t="n"/>
      <c r="R5" s="28" t="n"/>
      <c r="S5" s="28" t="inlineStr">
        <is>
          <t>10LAA00GH101</t>
        </is>
      </c>
      <c r="T5" s="32" t="inlineStr">
        <is>
          <t>Atm. Basıncı 0,935 Bar</t>
        </is>
      </c>
    </row>
    <row r="6" ht="30" customFormat="1" customHeight="1" s="5">
      <c r="A6" s="17" t="n">
        <v>4</v>
      </c>
      <c r="B6" s="17" t="inlineStr">
        <is>
          <t>KIPP00</t>
        </is>
      </c>
      <c r="C6" s="2" t="inlineStr">
        <is>
          <t>00GHC02CP102</t>
        </is>
      </c>
      <c r="D6" s="14" t="inlineStr">
        <is>
          <t>DEMIN WATER PUMP-B SUCTION FILTER DP</t>
        </is>
      </c>
      <c r="E6" s="37" t="n"/>
      <c r="F6" s="103" t="n">
        <v>-5000</v>
      </c>
      <c r="G6" s="103" t="n">
        <v>5000</v>
      </c>
      <c r="H6" s="103" t="n">
        <v>0</v>
      </c>
      <c r="I6" s="103" t="n">
        <v>1500</v>
      </c>
      <c r="J6" s="4" t="inlineStr">
        <is>
          <t>mBar</t>
        </is>
      </c>
      <c r="K6" s="33" t="inlineStr">
        <is>
          <t>YOKOGAWA</t>
        </is>
      </c>
      <c r="L6" s="33" t="inlineStr">
        <is>
          <t>EJA110E</t>
        </is>
      </c>
      <c r="M6" s="20" t="inlineStr">
        <is>
          <t>91S313091</t>
        </is>
      </c>
      <c r="N6" s="2">
        <f>IF(E6="","Waiting","Calibrated")</f>
        <v/>
      </c>
      <c r="O6" s="2" t="n"/>
      <c r="P6" s="2" t="inlineStr">
        <is>
          <t>ZM06</t>
        </is>
      </c>
      <c r="Q6" s="2" t="n"/>
      <c r="R6" s="28" t="n"/>
      <c r="S6" s="28" t="inlineStr">
        <is>
          <t>10LAA00GH101</t>
        </is>
      </c>
      <c r="T6" s="32" t="inlineStr">
        <is>
          <t>Atm. Basıncı 0,935 Bar</t>
        </is>
      </c>
    </row>
    <row r="7" ht="30" customFormat="1" customHeight="1" s="5">
      <c r="A7" s="17" t="n">
        <v>5</v>
      </c>
      <c r="B7" s="17" t="inlineStr">
        <is>
          <t>KIPP00</t>
        </is>
      </c>
      <c r="C7" s="2" t="inlineStr">
        <is>
          <t>00GHC03CP101</t>
        </is>
      </c>
      <c r="D7" s="14" t="inlineStr">
        <is>
          <t>DEMIN WATER PUMP-C SUCTION PRESS.</t>
        </is>
      </c>
      <c r="E7" s="37" t="n"/>
      <c r="F7" s="103" t="n">
        <v>-1</v>
      </c>
      <c r="G7" s="103" t="n">
        <v>20</v>
      </c>
      <c r="H7" s="103" t="n">
        <v>-1</v>
      </c>
      <c r="I7" s="103" t="n">
        <v>4</v>
      </c>
      <c r="J7" s="4" t="inlineStr">
        <is>
          <t>Bar</t>
        </is>
      </c>
      <c r="K7" s="33" t="inlineStr">
        <is>
          <t>YOKOGAWA</t>
        </is>
      </c>
      <c r="L7" s="33" t="inlineStr">
        <is>
          <t>EJA530E</t>
        </is>
      </c>
      <c r="M7" s="20" t="inlineStr">
        <is>
          <t>91S313264</t>
        </is>
      </c>
      <c r="N7" s="2">
        <f>IF(E7="","Waiting","Calibrated")</f>
        <v/>
      </c>
      <c r="O7" s="2" t="n"/>
      <c r="P7" s="2" t="inlineStr">
        <is>
          <t>ZM06</t>
        </is>
      </c>
      <c r="Q7" s="2" t="n"/>
      <c r="R7" s="28" t="n"/>
      <c r="S7" s="28" t="inlineStr">
        <is>
          <t>10LAA00GH101</t>
        </is>
      </c>
      <c r="T7" s="32" t="inlineStr">
        <is>
          <t>Atm. Basıncı 0,935 Bar</t>
        </is>
      </c>
    </row>
    <row r="8" ht="30" customFormat="1" customHeight="1" s="5">
      <c r="A8" s="17" t="n">
        <v>6</v>
      </c>
      <c r="B8" s="17" t="inlineStr">
        <is>
          <t>KIPP00</t>
        </is>
      </c>
      <c r="C8" s="2" t="inlineStr">
        <is>
          <t>00GHC03CP102</t>
        </is>
      </c>
      <c r="D8" s="14" t="inlineStr">
        <is>
          <t>DEMIN WATER PUMP-C SUCTION FILTER DP</t>
        </is>
      </c>
      <c r="E8" s="37" t="n"/>
      <c r="F8" s="103" t="n">
        <v>-5000</v>
      </c>
      <c r="G8" s="103" t="n">
        <v>5000</v>
      </c>
      <c r="H8" s="103" t="n">
        <v>0</v>
      </c>
      <c r="I8" s="103" t="n">
        <v>1500</v>
      </c>
      <c r="J8" s="4" t="inlineStr">
        <is>
          <t>mBar</t>
        </is>
      </c>
      <c r="K8" s="33" t="inlineStr">
        <is>
          <t>YOKOGAWA</t>
        </is>
      </c>
      <c r="L8" s="33" t="inlineStr">
        <is>
          <t>EJA110E</t>
        </is>
      </c>
      <c r="M8" s="20" t="inlineStr">
        <is>
          <t>91S313092</t>
        </is>
      </c>
      <c r="N8" s="2">
        <f>IF(E8="","Waiting","Calibrated")</f>
        <v/>
      </c>
      <c r="O8" s="2" t="n"/>
      <c r="P8" s="2" t="inlineStr">
        <is>
          <t>ZM06</t>
        </is>
      </c>
      <c r="Q8" s="2" t="n"/>
      <c r="R8" s="28" t="n"/>
      <c r="S8" s="28" t="inlineStr">
        <is>
          <t>10LAB01GH101</t>
        </is>
      </c>
      <c r="T8" s="32" t="n"/>
    </row>
    <row r="9" ht="30" customFormat="1" customHeight="1" s="5">
      <c r="A9" s="17" t="n">
        <v>7</v>
      </c>
      <c r="B9" s="17" t="inlineStr">
        <is>
          <t>KIPP00</t>
        </is>
      </c>
      <c r="C9" s="2" t="inlineStr">
        <is>
          <t>00GHC04CP101</t>
        </is>
      </c>
      <c r="D9" s="14" t="inlineStr">
        <is>
          <t xml:space="preserve">EMERGENCY M/U PUMP-A SUCTION PT </t>
        </is>
      </c>
      <c r="E9" s="37" t="n"/>
      <c r="F9" s="103" t="n">
        <v>-1</v>
      </c>
      <c r="G9" s="103" t="n">
        <v>100</v>
      </c>
      <c r="H9" s="103" t="n">
        <v>-1</v>
      </c>
      <c r="I9" s="103" t="n">
        <v>5</v>
      </c>
      <c r="J9" s="4" t="inlineStr">
        <is>
          <t>Bar</t>
        </is>
      </c>
      <c r="K9" s="33" t="inlineStr">
        <is>
          <t>YOKOGAWA</t>
        </is>
      </c>
      <c r="L9" s="33" t="inlineStr">
        <is>
          <t>EJA530E</t>
        </is>
      </c>
      <c r="M9" s="20" t="inlineStr">
        <is>
          <t>91S313216</t>
        </is>
      </c>
      <c r="N9" s="2">
        <f>IF(E9="","Waiting","Calibrated")</f>
        <v/>
      </c>
      <c r="O9" s="2" t="n"/>
      <c r="P9" s="2" t="inlineStr">
        <is>
          <t>ZM06</t>
        </is>
      </c>
      <c r="Q9" s="2" t="n"/>
      <c r="R9" s="28" t="n"/>
      <c r="S9" s="28" t="inlineStr">
        <is>
          <t>10LAB02GH101</t>
        </is>
      </c>
      <c r="T9" s="32" t="n"/>
    </row>
    <row r="10" ht="30" customFormat="1" customHeight="1" s="5">
      <c r="A10" s="17" t="n">
        <v>8</v>
      </c>
      <c r="B10" s="17" t="inlineStr">
        <is>
          <t>KIPP00</t>
        </is>
      </c>
      <c r="C10" s="2" t="inlineStr">
        <is>
          <t>00GHC04CP102</t>
        </is>
      </c>
      <c r="D10" s="14" t="inlineStr">
        <is>
          <t xml:space="preserve">EMERGENCY M/U PUMP-A SUCTION STRAINER DP </t>
        </is>
      </c>
      <c r="E10" s="37" t="n"/>
      <c r="F10" s="103" t="n">
        <v>-5000</v>
      </c>
      <c r="G10" s="103" t="n">
        <v>5000</v>
      </c>
      <c r="H10" s="103" t="n">
        <v>0</v>
      </c>
      <c r="I10" s="103" t="n">
        <v>1500</v>
      </c>
      <c r="J10" s="4" t="inlineStr">
        <is>
          <t>mBar</t>
        </is>
      </c>
      <c r="K10" s="33" t="inlineStr">
        <is>
          <t>YOKOGAWA</t>
        </is>
      </c>
      <c r="L10" s="33" t="inlineStr">
        <is>
          <t>EJA110E</t>
        </is>
      </c>
      <c r="M10" s="20" t="inlineStr">
        <is>
          <t>91S313106</t>
        </is>
      </c>
      <c r="N10" s="2">
        <f>IF(E10="","Waiting","Calibrated")</f>
        <v/>
      </c>
      <c r="O10" s="2" t="n"/>
      <c r="P10" s="2" t="inlineStr">
        <is>
          <t>ZM06</t>
        </is>
      </c>
      <c r="Q10" s="2" t="n"/>
      <c r="R10" s="28" t="n"/>
      <c r="S10" s="28" t="inlineStr">
        <is>
          <t>10LAB02GH101</t>
        </is>
      </c>
      <c r="T10" s="32" t="n"/>
    </row>
    <row r="11" ht="30" customFormat="1" customHeight="1" s="5">
      <c r="A11" s="17" t="n">
        <v>9</v>
      </c>
      <c r="B11" s="17" t="inlineStr">
        <is>
          <t>KIPP00</t>
        </is>
      </c>
      <c r="C11" s="2" t="inlineStr">
        <is>
          <t>00GHC05CP101</t>
        </is>
      </c>
      <c r="D11" s="14" t="inlineStr">
        <is>
          <t xml:space="preserve">EMERGENCY M/U PUMP-B SUCTION PT </t>
        </is>
      </c>
      <c r="E11" s="37" t="n"/>
      <c r="F11" s="103" t="n">
        <v>-1</v>
      </c>
      <c r="G11" s="103" t="n">
        <v>100</v>
      </c>
      <c r="H11" s="103" t="n">
        <v>-1</v>
      </c>
      <c r="I11" s="103" t="n">
        <v>5</v>
      </c>
      <c r="J11" s="4" t="inlineStr">
        <is>
          <t>Bar</t>
        </is>
      </c>
      <c r="K11" s="33" t="inlineStr">
        <is>
          <t>YOKOGAWA</t>
        </is>
      </c>
      <c r="L11" s="33" t="inlineStr">
        <is>
          <t>EJA530E</t>
        </is>
      </c>
      <c r="M11" s="20" t="inlineStr">
        <is>
          <t>91S313214</t>
        </is>
      </c>
      <c r="N11" s="2">
        <f>IF(E11="","Waiting","Calibrated")</f>
        <v/>
      </c>
      <c r="O11" s="2" t="n"/>
      <c r="P11" s="2" t="inlineStr">
        <is>
          <t>ZM06</t>
        </is>
      </c>
      <c r="Q11" s="2" t="n"/>
      <c r="R11" s="28" t="n"/>
      <c r="S11" s="28" t="inlineStr">
        <is>
          <t>10LAB06GH101</t>
        </is>
      </c>
      <c r="T11" s="32" t="n"/>
    </row>
    <row r="12" ht="30" customFormat="1" customHeight="1" s="5">
      <c r="A12" s="17" t="n">
        <v>10</v>
      </c>
      <c r="B12" s="17" t="inlineStr">
        <is>
          <t>KIPP00</t>
        </is>
      </c>
      <c r="C12" s="2" t="inlineStr">
        <is>
          <t>00GHC05CP102</t>
        </is>
      </c>
      <c r="D12" s="14" t="inlineStr">
        <is>
          <t xml:space="preserve">EMERGENCY M/U PUMP-B SUCTION STRAINER DP </t>
        </is>
      </c>
      <c r="E12" s="37" t="n"/>
      <c r="F12" s="103" t="n">
        <v>-5000</v>
      </c>
      <c r="G12" s="103" t="n">
        <v>5000</v>
      </c>
      <c r="H12" s="103" t="n">
        <v>0</v>
      </c>
      <c r="I12" s="103" t="n">
        <v>1500</v>
      </c>
      <c r="J12" s="4" t="inlineStr">
        <is>
          <t>mBar</t>
        </is>
      </c>
      <c r="K12" s="33" t="inlineStr">
        <is>
          <t>YOKOGAWA</t>
        </is>
      </c>
      <c r="L12" s="33" t="inlineStr">
        <is>
          <t>EJA110E</t>
        </is>
      </c>
      <c r="M12" s="20" t="inlineStr">
        <is>
          <t>91S313105</t>
        </is>
      </c>
      <c r="N12" s="2">
        <f>IF(E12="","Waiting","Calibrated")</f>
        <v/>
      </c>
      <c r="O12" s="2" t="n"/>
      <c r="P12" s="2" t="inlineStr">
        <is>
          <t>ZM06</t>
        </is>
      </c>
      <c r="Q12" s="2" t="n"/>
      <c r="R12" s="28" t="n"/>
      <c r="S12" s="28" t="inlineStr">
        <is>
          <t>10LAB06GH101</t>
        </is>
      </c>
      <c r="T12" s="32" t="n"/>
    </row>
    <row r="13" ht="30" customFormat="1" customHeight="1" s="5">
      <c r="A13" s="17" t="n">
        <v>11</v>
      </c>
      <c r="B13" s="17" t="inlineStr">
        <is>
          <t>KIPP00</t>
        </is>
      </c>
      <c r="C13" s="2" t="inlineStr">
        <is>
          <t>00GHC10CP101</t>
        </is>
      </c>
      <c r="D13" s="14" t="inlineStr">
        <is>
          <t>DEMIN. WATER SUPPLY PUMP DISC. PRESS. A</t>
        </is>
      </c>
      <c r="E13" s="107" t="n">
        <v>46051</v>
      </c>
      <c r="F13" s="103" t="n">
        <v>-1</v>
      </c>
      <c r="G13" s="103" t="n">
        <v>20</v>
      </c>
      <c r="H13" s="103" t="n">
        <v>0</v>
      </c>
      <c r="I13" s="103" t="n">
        <v>15</v>
      </c>
      <c r="J13" s="4" t="inlineStr">
        <is>
          <t>Bar</t>
        </is>
      </c>
      <c r="K13" s="19" t="inlineStr">
        <is>
          <t>YOKOGAWA</t>
        </is>
      </c>
      <c r="L13" s="19" t="inlineStr">
        <is>
          <t>EJA530E</t>
        </is>
      </c>
      <c r="M13" s="19" t="inlineStr">
        <is>
          <t>91S313246</t>
        </is>
      </c>
      <c r="N13" s="2">
        <f>IF(E13="","Waiting","Calibrated")</f>
        <v/>
      </c>
      <c r="O13" s="2" t="n"/>
      <c r="P13" s="2" t="inlineStr">
        <is>
          <t>ZM06</t>
        </is>
      </c>
      <c r="Q13" s="2" t="n"/>
      <c r="R13" s="28" t="n"/>
      <c r="S13" s="28" t="inlineStr">
        <is>
          <t>10LAB06GH101</t>
        </is>
      </c>
      <c r="T13" s="32" t="n"/>
    </row>
    <row r="14" ht="30" customFormat="1" customHeight="1" s="5">
      <c r="A14" s="17" t="n">
        <v>12</v>
      </c>
      <c r="B14" s="17" t="inlineStr">
        <is>
          <t>KIPP00</t>
        </is>
      </c>
      <c r="C14" s="2" t="inlineStr">
        <is>
          <t>00GHC10CP102</t>
        </is>
      </c>
      <c r="D14" s="14" t="inlineStr">
        <is>
          <t>DEMIN. WATER SUPPLY PUMP DISC. PRESS. B</t>
        </is>
      </c>
      <c r="E14" s="107" t="n">
        <v>46051</v>
      </c>
      <c r="F14" s="103" t="n">
        <v>-1</v>
      </c>
      <c r="G14" s="103" t="n">
        <v>20</v>
      </c>
      <c r="H14" s="103" t="n">
        <v>0</v>
      </c>
      <c r="I14" s="103" t="n">
        <v>15</v>
      </c>
      <c r="J14" s="4" t="inlineStr">
        <is>
          <t>Bar</t>
        </is>
      </c>
      <c r="K14" s="19" t="inlineStr">
        <is>
          <t>YOKOGAWA</t>
        </is>
      </c>
      <c r="L14" s="19" t="inlineStr">
        <is>
          <t>EJA530E</t>
        </is>
      </c>
      <c r="M14" s="19" t="inlineStr">
        <is>
          <t>91S313247</t>
        </is>
      </c>
      <c r="N14" s="2">
        <f>IF(E14="","Waiting","Calibrated")</f>
        <v/>
      </c>
      <c r="O14" s="2" t="n"/>
      <c r="P14" s="2" t="inlineStr">
        <is>
          <t>ZM06</t>
        </is>
      </c>
      <c r="Q14" s="2" t="n"/>
      <c r="R14" s="28" t="n"/>
      <c r="S14" s="28" t="inlineStr">
        <is>
          <t>10LAB10GH101</t>
        </is>
      </c>
      <c r="T14" s="32" t="n"/>
    </row>
    <row r="15" ht="30" customFormat="1" customHeight="1" s="5">
      <c r="A15" s="17" t="n">
        <v>13</v>
      </c>
      <c r="B15" s="17" t="inlineStr">
        <is>
          <t>KIPP00</t>
        </is>
      </c>
      <c r="C15" s="2" t="inlineStr">
        <is>
          <t>00GHC16CP101</t>
        </is>
      </c>
      <c r="D15" s="14" t="inlineStr">
        <is>
          <t>EMERGENCY M/U DISCAHARGE PT - A</t>
        </is>
      </c>
      <c r="E15" s="37" t="n"/>
      <c r="F15" s="103" t="n">
        <v>-1</v>
      </c>
      <c r="G15" s="103" t="n">
        <v>100</v>
      </c>
      <c r="H15" s="103" t="n">
        <v>0</v>
      </c>
      <c r="I15" s="103" t="n">
        <v>15</v>
      </c>
      <c r="J15" s="4" t="inlineStr">
        <is>
          <t>Bar</t>
        </is>
      </c>
      <c r="K15" s="33" t="inlineStr">
        <is>
          <t>YOKOGAWA</t>
        </is>
      </c>
      <c r="L15" s="33" t="inlineStr">
        <is>
          <t>EJA530E</t>
        </is>
      </c>
      <c r="M15" s="20" t="inlineStr">
        <is>
          <t>91S313302</t>
        </is>
      </c>
      <c r="N15" s="2">
        <f>IF(E15="","Waiting","Calibrated")</f>
        <v/>
      </c>
      <c r="O15" s="2" t="n"/>
      <c r="P15" s="2" t="inlineStr">
        <is>
          <t>ZM06</t>
        </is>
      </c>
      <c r="Q15" s="2" t="n"/>
      <c r="R15" s="28" t="n"/>
      <c r="S15" s="28" t="inlineStr">
        <is>
          <t>10LAB10GH101</t>
        </is>
      </c>
      <c r="T15" s="32" t="n"/>
    </row>
    <row r="16" ht="30" customFormat="1" customHeight="1" s="5">
      <c r="A16" s="17" t="n">
        <v>14</v>
      </c>
      <c r="B16" s="17" t="inlineStr">
        <is>
          <t>KIPP00</t>
        </is>
      </c>
      <c r="C16" s="2" t="inlineStr">
        <is>
          <t>00GHC16CP102</t>
        </is>
      </c>
      <c r="D16" s="14" t="inlineStr">
        <is>
          <t>EMERGENCY M/U DISCAHARGE PT - B</t>
        </is>
      </c>
      <c r="E16" s="37" t="n"/>
      <c r="F16" s="103" t="n">
        <v>-1</v>
      </c>
      <c r="G16" s="103" t="n">
        <v>100</v>
      </c>
      <c r="H16" s="103" t="n">
        <v>0</v>
      </c>
      <c r="I16" s="103" t="n">
        <v>15</v>
      </c>
      <c r="J16" s="4" t="inlineStr">
        <is>
          <t>Bar</t>
        </is>
      </c>
      <c r="K16" s="33" t="inlineStr">
        <is>
          <t>YOKOGAWA</t>
        </is>
      </c>
      <c r="L16" s="33" t="inlineStr">
        <is>
          <t>EJA530E</t>
        </is>
      </c>
      <c r="M16" s="20" t="inlineStr">
        <is>
          <t>91S313303</t>
        </is>
      </c>
      <c r="N16" s="2">
        <f>IF(E16="","Waiting","Calibrated")</f>
        <v/>
      </c>
      <c r="O16" s="2" t="n"/>
      <c r="P16" s="2" t="inlineStr">
        <is>
          <t>ZM06</t>
        </is>
      </c>
      <c r="Q16" s="2" t="n"/>
      <c r="R16" s="28" t="n"/>
      <c r="S16" s="28" t="inlineStr">
        <is>
          <t>10LAB01GH101</t>
        </is>
      </c>
      <c r="T16" s="32" t="n"/>
    </row>
    <row r="17" ht="30" customFormat="1" customHeight="1" s="5">
      <c r="A17" s="17" t="n">
        <v>15</v>
      </c>
      <c r="B17" s="17" t="inlineStr">
        <is>
          <t>KIPP00</t>
        </is>
      </c>
      <c r="C17" s="2" t="inlineStr">
        <is>
          <t>00GHC24CF101</t>
        </is>
      </c>
      <c r="D17" s="14" t="inlineStr">
        <is>
          <t>CONDENSER MAKE UP WATER FIT</t>
        </is>
      </c>
      <c r="E17" s="37" t="n"/>
      <c r="F17" s="103" t="n">
        <v>-10197.2</v>
      </c>
      <c r="G17" s="103" t="n">
        <v>10197.2</v>
      </c>
      <c r="H17" s="103" t="n">
        <v>0</v>
      </c>
      <c r="I17" s="103" t="n">
        <v>5000</v>
      </c>
      <c r="J17" s="4" t="inlineStr">
        <is>
          <t>mmH2O</t>
        </is>
      </c>
      <c r="K17" s="19" t="inlineStr">
        <is>
          <t>YOKOGAWA</t>
        </is>
      </c>
      <c r="L17" s="19" t="inlineStr">
        <is>
          <t>EJA110E</t>
        </is>
      </c>
      <c r="M17" s="19" t="inlineStr">
        <is>
          <t>91S313065</t>
        </is>
      </c>
      <c r="N17" s="2">
        <f>IF(E17="","Waiting","Calibrated")</f>
        <v/>
      </c>
      <c r="O17" s="2" t="n"/>
      <c r="P17" s="2" t="inlineStr">
        <is>
          <t>ZM06</t>
        </is>
      </c>
      <c r="Q17" s="2" t="n"/>
      <c r="R17" s="28" t="n"/>
      <c r="S17" s="28" t="inlineStr">
        <is>
          <t>10LAB02GH101</t>
        </is>
      </c>
      <c r="T17" s="32" t="n"/>
    </row>
    <row r="18" ht="30" customFormat="1" customHeight="1" s="5">
      <c r="A18" s="17" t="n">
        <v>16</v>
      </c>
      <c r="B18" s="17" t="inlineStr">
        <is>
          <t>KIPP00</t>
        </is>
      </c>
      <c r="C18" s="2" t="inlineStr">
        <is>
          <t>00GKB21CP101</t>
        </is>
      </c>
      <c r="D18" s="14" t="inlineStr">
        <is>
          <t>POTABLE WATER SUPPLY PUMP-A SUCTION PT</t>
        </is>
      </c>
      <c r="E18" s="37" t="n"/>
      <c r="F18" s="103" t="n">
        <v>-1</v>
      </c>
      <c r="G18" s="103" t="n">
        <v>20</v>
      </c>
      <c r="H18" s="103" t="n">
        <v>-1</v>
      </c>
      <c r="I18" s="103" t="n">
        <v>4</v>
      </c>
      <c r="J18" s="4" t="inlineStr">
        <is>
          <t>Bar</t>
        </is>
      </c>
      <c r="K18" s="19" t="inlineStr">
        <is>
          <t>YOKOGAWA</t>
        </is>
      </c>
      <c r="L18" s="33" t="inlineStr">
        <is>
          <t>EJA530E</t>
        </is>
      </c>
      <c r="M18" s="19" t="inlineStr">
        <is>
          <t>91S313267</t>
        </is>
      </c>
      <c r="N18" s="2">
        <f>IF(E18="","Waiting","Calibrated")</f>
        <v/>
      </c>
      <c r="O18" s="2" t="n"/>
      <c r="P18" s="2" t="inlineStr">
        <is>
          <t>ZM06</t>
        </is>
      </c>
      <c r="Q18" s="2" t="n"/>
      <c r="R18" s="28" t="n"/>
      <c r="S18" s="28" t="inlineStr">
        <is>
          <t>00GKB21GH01</t>
        </is>
      </c>
      <c r="T18" s="32" t="n"/>
    </row>
    <row r="19" ht="30" customFormat="1" customHeight="1" s="5">
      <c r="A19" s="17" t="n">
        <v>17</v>
      </c>
      <c r="B19" s="17" t="inlineStr">
        <is>
          <t>KIPP00</t>
        </is>
      </c>
      <c r="C19" s="2" t="inlineStr">
        <is>
          <t>00GKB22CP101</t>
        </is>
      </c>
      <c r="D19" s="14" t="inlineStr">
        <is>
          <t>POTABLE WATER SUPPLY PUMP-B SUCTION PT</t>
        </is>
      </c>
      <c r="E19" s="37" t="n"/>
      <c r="F19" s="103" t="n">
        <v>-1</v>
      </c>
      <c r="G19" s="103" t="n">
        <v>20</v>
      </c>
      <c r="H19" s="103" t="n">
        <v>-1</v>
      </c>
      <c r="I19" s="103" t="n">
        <v>4</v>
      </c>
      <c r="J19" s="4" t="inlineStr">
        <is>
          <t>Bar</t>
        </is>
      </c>
      <c r="K19" s="19" t="inlineStr">
        <is>
          <t>YOKOGAWA</t>
        </is>
      </c>
      <c r="L19" s="33" t="inlineStr">
        <is>
          <t>EJA530E</t>
        </is>
      </c>
      <c r="M19" s="19" t="inlineStr">
        <is>
          <t>91S313268</t>
        </is>
      </c>
      <c r="N19" s="2">
        <f>IF(E19="","Waiting","Calibrated")</f>
        <v/>
      </c>
      <c r="O19" s="2" t="n"/>
      <c r="P19" s="2" t="inlineStr">
        <is>
          <t>ZM06</t>
        </is>
      </c>
      <c r="Q19" s="2" t="n"/>
      <c r="R19" s="28" t="n"/>
      <c r="S19" s="28" t="inlineStr">
        <is>
          <t>00GKB21GH01</t>
        </is>
      </c>
      <c r="T19" s="32" t="n"/>
    </row>
    <row r="20" ht="30" customFormat="1" customHeight="1" s="5">
      <c r="A20" s="17" t="n">
        <v>18</v>
      </c>
      <c r="B20" s="17" t="inlineStr">
        <is>
          <t>KIPP00</t>
        </is>
      </c>
      <c r="C20" s="2" t="inlineStr">
        <is>
          <t>00GKB30CP101</t>
        </is>
      </c>
      <c r="D20" s="14" t="inlineStr">
        <is>
          <t>POTABLE WATER SUPPLY PUMP DISCHARGE PT - A</t>
        </is>
      </c>
      <c r="E20" s="37" t="n"/>
      <c r="F20" s="103" t="n">
        <v>-1</v>
      </c>
      <c r="G20" s="103" t="n">
        <v>20</v>
      </c>
      <c r="H20" s="103" t="n">
        <v>0</v>
      </c>
      <c r="I20" s="103" t="n">
        <v>9</v>
      </c>
      <c r="J20" s="4" t="inlineStr">
        <is>
          <t>Bar</t>
        </is>
      </c>
      <c r="K20" s="19" t="inlineStr">
        <is>
          <t>YOKOGAWA</t>
        </is>
      </c>
      <c r="L20" s="33" t="inlineStr">
        <is>
          <t>EJA530E</t>
        </is>
      </c>
      <c r="M20" s="19" t="inlineStr">
        <is>
          <t>91S313244</t>
        </is>
      </c>
      <c r="N20" s="2">
        <f>IF(E20="","Waiting","Calibrated")</f>
        <v/>
      </c>
      <c r="O20" s="2" t="n"/>
      <c r="P20" s="2" t="inlineStr">
        <is>
          <t>ZM06</t>
        </is>
      </c>
      <c r="Q20" s="2" t="n"/>
      <c r="R20" s="28" t="n"/>
      <c r="S20" s="28" t="inlineStr">
        <is>
          <t>00GKB21GH01</t>
        </is>
      </c>
      <c r="T20" s="32" t="n"/>
    </row>
    <row r="21" ht="30" customFormat="1" customHeight="1" s="5">
      <c r="A21" s="17" t="n">
        <v>19</v>
      </c>
      <c r="B21" s="17" t="inlineStr">
        <is>
          <t>KIPP00</t>
        </is>
      </c>
      <c r="C21" s="2" t="inlineStr">
        <is>
          <t>00GKB30CP102</t>
        </is>
      </c>
      <c r="D21" s="14" t="inlineStr">
        <is>
          <t>POTABLE WATER SUPPLY PUMP DISCHARGE PT - B</t>
        </is>
      </c>
      <c r="E21" s="37" t="n"/>
      <c r="F21" s="103" t="n">
        <v>-1</v>
      </c>
      <c r="G21" s="103" t="n">
        <v>20</v>
      </c>
      <c r="H21" s="103" t="n">
        <v>0</v>
      </c>
      <c r="I21" s="103" t="n">
        <v>9</v>
      </c>
      <c r="J21" s="4" t="inlineStr">
        <is>
          <t>Bar</t>
        </is>
      </c>
      <c r="K21" s="19" t="inlineStr">
        <is>
          <t>YOKOGAWA</t>
        </is>
      </c>
      <c r="L21" s="33" t="inlineStr">
        <is>
          <t>EJA530E</t>
        </is>
      </c>
      <c r="M21" s="19" t="inlineStr">
        <is>
          <t>91S313245</t>
        </is>
      </c>
      <c r="N21" s="2">
        <f>IF(E21="","Waiting","Calibrated")</f>
        <v/>
      </c>
      <c r="O21" s="2" t="n"/>
      <c r="P21" s="2" t="inlineStr">
        <is>
          <t>ZM06</t>
        </is>
      </c>
      <c r="Q21" s="2" t="n"/>
      <c r="R21" s="28" t="n"/>
      <c r="S21" s="28" t="inlineStr">
        <is>
          <t>00GKB21GH01</t>
        </is>
      </c>
      <c r="T21" s="32" t="n"/>
    </row>
    <row r="22" ht="30" customFormat="1" customHeight="1" s="5">
      <c r="A22" s="17" t="n">
        <v>20</v>
      </c>
      <c r="B22" s="17" t="inlineStr">
        <is>
          <t>KIPP10</t>
        </is>
      </c>
      <c r="C22" s="2" t="inlineStr">
        <is>
          <t>10LAA00CL101</t>
        </is>
      </c>
      <c r="D22" s="14" t="inlineStr">
        <is>
          <t>DEAERATOR &amp; FW STORAGE TANK LEVEL A</t>
        </is>
      </c>
      <c r="E22" s="37" t="n"/>
      <c r="F22" s="103" t="n">
        <v>-10197.2</v>
      </c>
      <c r="G22" s="103" t="n">
        <v>10197.2</v>
      </c>
      <c r="H22" s="103" t="n">
        <v>-2700</v>
      </c>
      <c r="I22" s="103" t="n">
        <v>0</v>
      </c>
      <c r="J22" s="4" t="inlineStr">
        <is>
          <t>mmH2O</t>
        </is>
      </c>
      <c r="K22" s="19" t="inlineStr">
        <is>
          <t>YOKOGAWA</t>
        </is>
      </c>
      <c r="L22" s="19" t="inlineStr">
        <is>
          <t>EJA110E</t>
        </is>
      </c>
      <c r="M22" s="19" t="inlineStr">
        <is>
          <t>91S313099</t>
        </is>
      </c>
      <c r="N22" s="2">
        <f>IF(E22="","Waiting","Calibrated")</f>
        <v/>
      </c>
      <c r="O22" s="2" t="n"/>
      <c r="P22" s="2" t="inlineStr">
        <is>
          <t>ZM06</t>
        </is>
      </c>
      <c r="Q22" s="2" t="n"/>
      <c r="R22" s="28" t="n"/>
      <c r="S22" s="28" t="inlineStr">
        <is>
          <t>10LAB15GH101</t>
        </is>
      </c>
      <c r="T22" s="32" t="n"/>
    </row>
    <row r="23" ht="30" customFormat="1" customHeight="1" s="5">
      <c r="A23" s="17" t="n">
        <v>21</v>
      </c>
      <c r="B23" s="17" t="inlineStr">
        <is>
          <t>KIPP10</t>
        </is>
      </c>
      <c r="C23" s="2" t="inlineStr">
        <is>
          <t>10LAA00CL102</t>
        </is>
      </c>
      <c r="D23" s="14" t="inlineStr">
        <is>
          <t>DEAERATOR &amp; FW STORAGE TANK LEVEL B</t>
        </is>
      </c>
      <c r="E23" s="37" t="n"/>
      <c r="F23" s="103" t="n">
        <v>-10197.2</v>
      </c>
      <c r="G23" s="103" t="n">
        <v>10197.2</v>
      </c>
      <c r="H23" s="103" t="n">
        <v>-2700</v>
      </c>
      <c r="I23" s="103" t="n">
        <v>0</v>
      </c>
      <c r="J23" s="4" t="inlineStr">
        <is>
          <t>mmH2O</t>
        </is>
      </c>
      <c r="K23" s="19" t="inlineStr">
        <is>
          <t>YOKOGAWA</t>
        </is>
      </c>
      <c r="L23" s="19" t="inlineStr">
        <is>
          <t>EJA110E</t>
        </is>
      </c>
      <c r="M23" s="19" t="inlineStr">
        <is>
          <t>91S313098</t>
        </is>
      </c>
      <c r="N23" s="2">
        <f>IF(E23="","Waiting","Calibrated")</f>
        <v/>
      </c>
      <c r="O23" s="2" t="n"/>
      <c r="P23" s="2" t="inlineStr">
        <is>
          <t>ZM06</t>
        </is>
      </c>
      <c r="Q23" s="2" t="n"/>
      <c r="R23" s="28" t="n"/>
      <c r="S23" s="28" t="inlineStr">
        <is>
          <t>10LAB15GH101</t>
        </is>
      </c>
      <c r="T23" s="32" t="n"/>
    </row>
    <row r="24" ht="30" customFormat="1" customHeight="1" s="5">
      <c r="A24" s="17" t="n">
        <v>22</v>
      </c>
      <c r="B24" s="17" t="inlineStr">
        <is>
          <t>KIPP10</t>
        </is>
      </c>
      <c r="C24" s="2" t="inlineStr">
        <is>
          <t>10LAA00CL103</t>
        </is>
      </c>
      <c r="D24" s="14" t="inlineStr">
        <is>
          <t>DEAERATOR &amp; FW STORAGE TANK LEVEL C</t>
        </is>
      </c>
      <c r="E24" s="37" t="n"/>
      <c r="F24" s="103" t="n">
        <v>-10197.2</v>
      </c>
      <c r="G24" s="103" t="n">
        <v>10197.2</v>
      </c>
      <c r="H24" s="103" t="n">
        <v>-2700</v>
      </c>
      <c r="I24" s="103" t="n">
        <v>0</v>
      </c>
      <c r="J24" s="4" t="inlineStr">
        <is>
          <t>mmH2O</t>
        </is>
      </c>
      <c r="K24" s="19" t="inlineStr">
        <is>
          <t>YOKOGAWA</t>
        </is>
      </c>
      <c r="L24" s="19" t="inlineStr">
        <is>
          <t>EJA110E</t>
        </is>
      </c>
      <c r="M24" s="19" t="inlineStr">
        <is>
          <t>91S313095</t>
        </is>
      </c>
      <c r="N24" s="2">
        <f>IF(E24="","Waiting","Calibrated")</f>
        <v/>
      </c>
      <c r="O24" s="2" t="n"/>
      <c r="P24" s="2" t="inlineStr">
        <is>
          <t>ZM06</t>
        </is>
      </c>
      <c r="Q24" s="2" t="n"/>
      <c r="R24" s="28" t="n"/>
      <c r="S24" s="28" t="inlineStr">
        <is>
          <t>10LAB10GH101</t>
        </is>
      </c>
      <c r="T24" s="32" t="n"/>
    </row>
    <row r="25" ht="30" customFormat="1" customHeight="1" s="5">
      <c r="A25" s="17" t="n">
        <v>23</v>
      </c>
      <c r="B25" s="17" t="inlineStr">
        <is>
          <t>KIPP10</t>
        </is>
      </c>
      <c r="C25" s="2" t="inlineStr">
        <is>
          <t>10LAA00CL104</t>
        </is>
      </c>
      <c r="D25" s="14" t="inlineStr">
        <is>
          <t>DEAERATOR &amp; FW STORAGE TANK LEVEL D</t>
        </is>
      </c>
      <c r="E25" s="37" t="n"/>
      <c r="F25" s="103" t="n">
        <v>-10197.2</v>
      </c>
      <c r="G25" s="103" t="n">
        <v>10197.2</v>
      </c>
      <c r="H25" s="103" t="n">
        <v>-2700</v>
      </c>
      <c r="I25" s="103" t="n">
        <v>0</v>
      </c>
      <c r="J25" s="4" t="inlineStr">
        <is>
          <t>mmH2O</t>
        </is>
      </c>
      <c r="K25" s="19" t="inlineStr">
        <is>
          <t>YOKOGAWA</t>
        </is>
      </c>
      <c r="L25" s="19" t="inlineStr">
        <is>
          <t>EJA110E</t>
        </is>
      </c>
      <c r="M25" s="19" t="inlineStr">
        <is>
          <t>91S313094</t>
        </is>
      </c>
      <c r="N25" s="2">
        <f>IF(E25="","Waiting","Calibrated")</f>
        <v/>
      </c>
      <c r="O25" s="2" t="n"/>
      <c r="P25" s="2" t="inlineStr">
        <is>
          <t>ZM06</t>
        </is>
      </c>
      <c r="Q25" s="2" t="n"/>
      <c r="R25" s="28" t="n"/>
      <c r="S25" s="28" t="inlineStr">
        <is>
          <t>10LAB10GH101</t>
        </is>
      </c>
      <c r="T25" s="32" t="n"/>
    </row>
    <row r="26" ht="30" customFormat="1" customHeight="1" s="5">
      <c r="A26" s="17" t="n">
        <v>24</v>
      </c>
      <c r="B26" s="17" t="inlineStr">
        <is>
          <t>KIPP10</t>
        </is>
      </c>
      <c r="C26" s="2" t="inlineStr">
        <is>
          <t>10LAA00CL105</t>
        </is>
      </c>
      <c r="D26" s="14" t="inlineStr">
        <is>
          <t>DEAERATOR &amp; FW STORAGE TANK LEVEL E</t>
        </is>
      </c>
      <c r="E26" s="37" t="n"/>
      <c r="F26" s="103" t="n">
        <v>-10197.2</v>
      </c>
      <c r="G26" s="103" t="n">
        <v>10197.2</v>
      </c>
      <c r="H26" s="103" t="n">
        <v>-2700</v>
      </c>
      <c r="I26" s="103" t="n">
        <v>0</v>
      </c>
      <c r="J26" s="4" t="inlineStr">
        <is>
          <t>mmH2O</t>
        </is>
      </c>
      <c r="K26" s="19" t="inlineStr">
        <is>
          <t>YOKOGAWA</t>
        </is>
      </c>
      <c r="L26" s="19" t="inlineStr">
        <is>
          <t>EJA110E</t>
        </is>
      </c>
      <c r="M26" s="19" t="inlineStr">
        <is>
          <t>91S313093</t>
        </is>
      </c>
      <c r="N26" s="2">
        <f>IF(E26="","Waiting","Calibrated")</f>
        <v/>
      </c>
      <c r="O26" s="2" t="n"/>
      <c r="P26" s="2" t="inlineStr">
        <is>
          <t>ZM06</t>
        </is>
      </c>
      <c r="Q26" s="2" t="n"/>
      <c r="R26" s="28" t="n"/>
      <c r="S26" s="28" t="inlineStr">
        <is>
          <t>10LAB01GH101</t>
        </is>
      </c>
      <c r="T26" s="32" t="n"/>
    </row>
    <row r="27" ht="30" customFormat="1" customHeight="1" s="5">
      <c r="A27" s="17" t="n">
        <v>25</v>
      </c>
      <c r="B27" s="17" t="inlineStr">
        <is>
          <t>KIPP10</t>
        </is>
      </c>
      <c r="C27" s="2" t="inlineStr">
        <is>
          <t>10LAA00CP101</t>
        </is>
      </c>
      <c r="D27" s="14" t="inlineStr">
        <is>
          <t>DEAERATOR &amp; FW STORAGE TANK PRESSURE A</t>
        </is>
      </c>
      <c r="E27" s="37" t="n"/>
      <c r="F27" s="103" t="n">
        <v>-1</v>
      </c>
      <c r="G27" s="103" t="n">
        <v>20</v>
      </c>
      <c r="H27" s="103" t="n">
        <v>0</v>
      </c>
      <c r="I27" s="103" t="n">
        <v>7</v>
      </c>
      <c r="J27" s="4" t="inlineStr">
        <is>
          <t>Bar</t>
        </is>
      </c>
      <c r="K27" s="19" t="inlineStr">
        <is>
          <t>YOKOGAWA</t>
        </is>
      </c>
      <c r="L27" s="19" t="inlineStr">
        <is>
          <t>EJA530E</t>
        </is>
      </c>
      <c r="M27" s="19" t="inlineStr">
        <is>
          <t>91S313278</t>
        </is>
      </c>
      <c r="N27" s="2">
        <f>IF(E27="","Waiting","Calibrated")</f>
        <v/>
      </c>
      <c r="O27" s="2" t="n"/>
      <c r="P27" s="2" t="inlineStr">
        <is>
          <t>ZM06</t>
        </is>
      </c>
      <c r="Q27" s="2" t="n"/>
      <c r="R27" s="28" t="n"/>
      <c r="S27" s="28" t="inlineStr">
        <is>
          <t>10LAB02GH101</t>
        </is>
      </c>
      <c r="T27" s="32" t="n"/>
    </row>
    <row r="28" ht="30" customFormat="1" customHeight="1" s="5">
      <c r="A28" s="17" t="n">
        <v>26</v>
      </c>
      <c r="B28" s="17" t="inlineStr">
        <is>
          <t>KIPP10</t>
        </is>
      </c>
      <c r="C28" s="2" t="inlineStr">
        <is>
          <t>10LAA00CP102</t>
        </is>
      </c>
      <c r="D28" s="14" t="inlineStr">
        <is>
          <t>DEAERATOR &amp; FW STORAGE TANK PRESSURE B</t>
        </is>
      </c>
      <c r="E28" s="37" t="n"/>
      <c r="F28" s="103" t="n">
        <v>-1</v>
      </c>
      <c r="G28" s="103" t="n">
        <v>20</v>
      </c>
      <c r="H28" s="103" t="n">
        <v>0</v>
      </c>
      <c r="I28" s="103" t="n">
        <v>7</v>
      </c>
      <c r="J28" s="4" t="inlineStr">
        <is>
          <t>Bar</t>
        </is>
      </c>
      <c r="K28" s="19" t="inlineStr">
        <is>
          <t>YOKOGAWA</t>
        </is>
      </c>
      <c r="L28" s="19" t="inlineStr">
        <is>
          <t>EJA530E</t>
        </is>
      </c>
      <c r="M28" s="19" t="inlineStr">
        <is>
          <t>91S313279</t>
        </is>
      </c>
      <c r="N28" s="2">
        <f>IF(E28="","Waiting","Calibrated")</f>
        <v/>
      </c>
      <c r="O28" s="2" t="n"/>
      <c r="P28" s="2" t="inlineStr">
        <is>
          <t>ZM06</t>
        </is>
      </c>
      <c r="Q28" s="2" t="n"/>
      <c r="R28" s="28" t="n"/>
      <c r="S28" s="28" t="inlineStr">
        <is>
          <t>10LAB02GH101</t>
        </is>
      </c>
      <c r="T28" s="32" t="n"/>
    </row>
    <row r="29" ht="30" customFormat="1" customHeight="1" s="5">
      <c r="A29" s="17" t="n">
        <v>27</v>
      </c>
      <c r="B29" s="17" t="inlineStr">
        <is>
          <t>KIPP10</t>
        </is>
      </c>
      <c r="C29" s="2" t="inlineStr">
        <is>
          <t>10LAA00CP103</t>
        </is>
      </c>
      <c r="D29" s="14" t="inlineStr">
        <is>
          <t>DEAERATOR &amp; FW STORAGE TANK PRESSURE C</t>
        </is>
      </c>
      <c r="E29" s="37" t="n"/>
      <c r="F29" s="103" t="n">
        <v>-1</v>
      </c>
      <c r="G29" s="103" t="n">
        <v>20</v>
      </c>
      <c r="H29" s="103" t="n">
        <v>0</v>
      </c>
      <c r="I29" s="103" t="n">
        <v>7</v>
      </c>
      <c r="J29" s="4" t="inlineStr">
        <is>
          <t>Bar</t>
        </is>
      </c>
      <c r="K29" s="19" t="inlineStr">
        <is>
          <t>YOKOGAWA</t>
        </is>
      </c>
      <c r="L29" s="19" t="inlineStr">
        <is>
          <t>EJA530E</t>
        </is>
      </c>
      <c r="M29" s="19" t="inlineStr">
        <is>
          <t>91S313280</t>
        </is>
      </c>
      <c r="N29" s="2">
        <f>IF(E29="","Waiting","Calibrated")</f>
        <v/>
      </c>
      <c r="O29" s="2" t="n"/>
      <c r="P29" s="2" t="inlineStr">
        <is>
          <t>ZM06</t>
        </is>
      </c>
      <c r="Q29" s="2" t="n"/>
      <c r="R29" s="28" t="n"/>
      <c r="S29" s="28" t="inlineStr">
        <is>
          <t>10LAB02GH101</t>
        </is>
      </c>
      <c r="T29" s="32" t="n"/>
    </row>
    <row r="30" ht="30" customFormat="1" customHeight="1" s="5">
      <c r="A30" s="17" t="n">
        <v>28</v>
      </c>
      <c r="B30" s="17" t="inlineStr">
        <is>
          <t>KIPP10</t>
        </is>
      </c>
      <c r="C30" s="2" t="inlineStr">
        <is>
          <t>10LAB01CP102</t>
        </is>
      </c>
      <c r="D30" s="14" t="inlineStr">
        <is>
          <t>STG 10 BOILER FWP C SUCTION PRESSURE</t>
        </is>
      </c>
      <c r="E30" s="37" t="n"/>
      <c r="F30" s="103" t="n">
        <v>-1</v>
      </c>
      <c r="G30" s="103" t="n">
        <v>20</v>
      </c>
      <c r="H30" s="103" t="n">
        <v>0</v>
      </c>
      <c r="I30" s="103" t="n">
        <v>5</v>
      </c>
      <c r="J30" s="4" t="inlineStr">
        <is>
          <t>Bar</t>
        </is>
      </c>
      <c r="K30" s="19" t="inlineStr">
        <is>
          <t>YOKOGAWA</t>
        </is>
      </c>
      <c r="L30" s="19" t="inlineStr">
        <is>
          <t>EJA530E</t>
        </is>
      </c>
      <c r="M30" s="19" t="inlineStr">
        <is>
          <t>91S213232</t>
        </is>
      </c>
      <c r="N30" s="2">
        <f>IF(E30="","Waiting","Calibrated")</f>
        <v/>
      </c>
      <c r="O30" s="2" t="n"/>
      <c r="P30" s="2" t="inlineStr">
        <is>
          <t>ZM06</t>
        </is>
      </c>
      <c r="Q30" s="2" t="n"/>
      <c r="R30" s="28" t="n"/>
      <c r="S30" s="28" t="n"/>
      <c r="T30" s="32" t="n"/>
    </row>
    <row r="31" ht="30" customFormat="1" customHeight="1" s="5">
      <c r="A31" s="17" t="n">
        <v>29</v>
      </c>
      <c r="B31" s="17" t="inlineStr">
        <is>
          <t>KIPP10</t>
        </is>
      </c>
      <c r="C31" s="2" t="inlineStr">
        <is>
          <t>10LAB02CP102</t>
        </is>
      </c>
      <c r="D31" s="14" t="inlineStr">
        <is>
          <t>BOILER FEED WATER PUMP B SUCTION PT</t>
        </is>
      </c>
      <c r="E31" s="37" t="n"/>
      <c r="F31" s="103" t="n">
        <v>-1</v>
      </c>
      <c r="G31" s="103" t="n">
        <v>20</v>
      </c>
      <c r="H31" s="103" t="n">
        <v>0</v>
      </c>
      <c r="I31" s="103" t="n">
        <v>5</v>
      </c>
      <c r="J31" s="4" t="inlineStr">
        <is>
          <t>Bar</t>
        </is>
      </c>
      <c r="K31" s="19" t="inlineStr">
        <is>
          <t>YOKOGAWA</t>
        </is>
      </c>
      <c r="L31" s="19" t="inlineStr">
        <is>
          <t>EJA530E</t>
        </is>
      </c>
      <c r="M31" s="19" t="inlineStr">
        <is>
          <t>91S213233</t>
        </is>
      </c>
      <c r="N31" s="2">
        <f>IF(E31="","Waiting","Calibrated")</f>
        <v/>
      </c>
      <c r="O31" s="2" t="n"/>
      <c r="P31" s="2" t="inlineStr">
        <is>
          <t>ZM06</t>
        </is>
      </c>
      <c r="Q31" s="2" t="n"/>
      <c r="R31" s="28" t="n"/>
      <c r="S31" s="28" t="n"/>
      <c r="T31" s="32" t="n"/>
    </row>
    <row r="32" ht="30" customFormat="1" customHeight="1" s="5">
      <c r="A32" s="17" t="n">
        <v>30</v>
      </c>
      <c r="B32" s="17" t="inlineStr">
        <is>
          <t>KIPP10</t>
        </is>
      </c>
      <c r="C32" s="2" t="inlineStr">
        <is>
          <t>10LAB03CP102</t>
        </is>
      </c>
      <c r="D32" s="14" t="inlineStr">
        <is>
          <t>STG 10 BOILER FWP C SUCTION PRESSURE</t>
        </is>
      </c>
      <c r="E32" s="37" t="n"/>
      <c r="F32" s="103" t="n">
        <v>-1</v>
      </c>
      <c r="G32" s="103" t="n">
        <v>20</v>
      </c>
      <c r="H32" s="103" t="n">
        <v>0</v>
      </c>
      <c r="I32" s="103" t="n">
        <v>5</v>
      </c>
      <c r="J32" s="4" t="inlineStr">
        <is>
          <t>Bar</t>
        </is>
      </c>
      <c r="K32" s="19" t="inlineStr">
        <is>
          <t>YOKOGAWA</t>
        </is>
      </c>
      <c r="L32" s="19" t="inlineStr">
        <is>
          <t>EJA530E</t>
        </is>
      </c>
      <c r="M32" s="19" t="inlineStr">
        <is>
          <t>91S213234</t>
        </is>
      </c>
      <c r="N32" s="2">
        <f>IF(E32="","Waiting","Calibrated")</f>
        <v/>
      </c>
      <c r="O32" s="2" t="n"/>
      <c r="P32" s="2" t="inlineStr">
        <is>
          <t>ZM06</t>
        </is>
      </c>
      <c r="Q32" s="2" t="n"/>
      <c r="R32" s="28" t="n"/>
      <c r="S32" s="28" t="n"/>
      <c r="T32" s="32" t="n"/>
    </row>
    <row r="33" ht="30" customFormat="1" customHeight="1" s="5">
      <c r="A33" s="17" t="n">
        <v>31</v>
      </c>
      <c r="B33" s="17" t="inlineStr">
        <is>
          <t>KIPP10</t>
        </is>
      </c>
      <c r="C33" s="2" t="inlineStr">
        <is>
          <t>10LAB06CP102</t>
        </is>
      </c>
      <c r="D33" s="14" t="inlineStr">
        <is>
          <t>CPH PUMP-A SUCTION PRESS.</t>
        </is>
      </c>
      <c r="E33" s="37" t="n"/>
      <c r="F33" s="103" t="n">
        <v>-1</v>
      </c>
      <c r="G33" s="103" t="n">
        <v>20</v>
      </c>
      <c r="H33" s="103" t="n">
        <v>0</v>
      </c>
      <c r="I33" s="103" t="n">
        <v>6</v>
      </c>
      <c r="J33" s="4" t="inlineStr">
        <is>
          <t>Bar</t>
        </is>
      </c>
      <c r="K33" s="19" t="inlineStr">
        <is>
          <t>YOKOGAWA</t>
        </is>
      </c>
      <c r="L33" s="19" t="inlineStr">
        <is>
          <t>EJA530E</t>
        </is>
      </c>
      <c r="M33" s="19" t="inlineStr">
        <is>
          <t>91S313235</t>
        </is>
      </c>
      <c r="N33" s="2">
        <f>IF(E33="","Waiting","Calibrated")</f>
        <v/>
      </c>
      <c r="O33" s="2" t="n"/>
      <c r="P33" s="2" t="inlineStr">
        <is>
          <t>ZM06</t>
        </is>
      </c>
      <c r="Q33" s="2" t="n"/>
      <c r="R33" s="28" t="n"/>
      <c r="S33" s="28" t="n"/>
      <c r="T33" s="32" t="n"/>
    </row>
    <row r="34" ht="30" customFormat="1" customHeight="1" s="5">
      <c r="A34" s="17" t="n">
        <v>32</v>
      </c>
      <c r="B34" s="17" t="inlineStr">
        <is>
          <t>KIPP10</t>
        </is>
      </c>
      <c r="C34" s="2" t="inlineStr">
        <is>
          <t>10LAB07CP102</t>
        </is>
      </c>
      <c r="D34" s="14" t="inlineStr">
        <is>
          <t>CPH PUMP-B SUCTION PRESS.</t>
        </is>
      </c>
      <c r="E34" s="37" t="n"/>
      <c r="F34" s="103" t="n">
        <v>-1</v>
      </c>
      <c r="G34" s="103" t="n">
        <v>20</v>
      </c>
      <c r="H34" s="103" t="n">
        <v>0</v>
      </c>
      <c r="I34" s="103" t="n">
        <v>6</v>
      </c>
      <c r="J34" s="4" t="inlineStr">
        <is>
          <t>Bar</t>
        </is>
      </c>
      <c r="K34" s="19" t="inlineStr">
        <is>
          <t>YOKOGAWA</t>
        </is>
      </c>
      <c r="L34" s="19" t="inlineStr">
        <is>
          <t>EJA530E</t>
        </is>
      </c>
      <c r="M34" s="19" t="inlineStr">
        <is>
          <t>91S313236</t>
        </is>
      </c>
      <c r="N34" s="2">
        <f>IF(E34="","Waiting","Calibrated")</f>
        <v/>
      </c>
      <c r="O34" s="2" t="n"/>
      <c r="P34" s="2" t="inlineStr">
        <is>
          <t>ZM06</t>
        </is>
      </c>
      <c r="Q34" s="2" t="n"/>
      <c r="R34" s="28" t="n"/>
      <c r="S34" s="28" t="n"/>
      <c r="T34" s="32" t="n"/>
    </row>
    <row r="35" ht="30" customFormat="1" customHeight="1" s="5">
      <c r="A35" s="17" t="n">
        <v>33</v>
      </c>
      <c r="B35" s="17" t="inlineStr">
        <is>
          <t>KIPP10</t>
        </is>
      </c>
      <c r="C35" s="2" t="inlineStr">
        <is>
          <t>10LAB08CP102</t>
        </is>
      </c>
      <c r="D35" s="14" t="inlineStr">
        <is>
          <t>CPH PUMP-C SUCTION PRESS.</t>
        </is>
      </c>
      <c r="E35" s="37" t="n"/>
      <c r="F35" s="103" t="n">
        <v>-1</v>
      </c>
      <c r="G35" s="103" t="n">
        <v>20</v>
      </c>
      <c r="H35" s="103" t="n">
        <v>0</v>
      </c>
      <c r="I35" s="103" t="n">
        <v>6</v>
      </c>
      <c r="J35" s="4" t="inlineStr">
        <is>
          <t>Bar</t>
        </is>
      </c>
      <c r="K35" s="19" t="inlineStr">
        <is>
          <t>YOKOGAWA</t>
        </is>
      </c>
      <c r="L35" s="19" t="inlineStr">
        <is>
          <t>EJA530E</t>
        </is>
      </c>
      <c r="M35" s="19" t="inlineStr">
        <is>
          <t>91S313237</t>
        </is>
      </c>
      <c r="N35" s="2">
        <f>IF(E35="","Waiting","Calibrated")</f>
        <v/>
      </c>
      <c r="O35" s="2" t="n"/>
      <c r="P35" s="2" t="inlineStr">
        <is>
          <t>ZM06</t>
        </is>
      </c>
      <c r="Q35" s="2" t="n"/>
      <c r="R35" s="28" t="n"/>
      <c r="S35" s="28" t="n"/>
      <c r="T35" s="32" t="n"/>
    </row>
    <row r="36" ht="30" customFormat="1" customHeight="1" s="5">
      <c r="A36" s="17" t="n">
        <v>34</v>
      </c>
      <c r="B36" s="17" t="inlineStr">
        <is>
          <t>KIPP10</t>
        </is>
      </c>
      <c r="C36" s="2" t="inlineStr">
        <is>
          <t>10LAB10CP101</t>
        </is>
      </c>
      <c r="D36" s="14" t="inlineStr">
        <is>
          <t>BOILER FEED WATER PUMP-A HP DISCHARGE PT</t>
        </is>
      </c>
      <c r="E36" s="37" t="n"/>
      <c r="F36" s="103" t="n">
        <v>-1</v>
      </c>
      <c r="G36" s="103" t="n">
        <v>500</v>
      </c>
      <c r="H36" s="103" t="n">
        <v>0</v>
      </c>
      <c r="I36" s="103" t="n">
        <v>218</v>
      </c>
      <c r="J36" s="4" t="inlineStr">
        <is>
          <t>Bar</t>
        </is>
      </c>
      <c r="K36" s="19" t="inlineStr">
        <is>
          <t>YOKOGAWA</t>
        </is>
      </c>
      <c r="L36" s="19" t="inlineStr">
        <is>
          <t>EJA530E</t>
        </is>
      </c>
      <c r="M36" s="19" t="inlineStr">
        <is>
          <t>91S313320</t>
        </is>
      </c>
      <c r="N36" s="2">
        <f>IF(E36="","Waiting","Calibrated")</f>
        <v/>
      </c>
      <c r="O36" s="2" t="n"/>
      <c r="P36" s="2" t="inlineStr">
        <is>
          <t>ZM06</t>
        </is>
      </c>
      <c r="Q36" s="2" t="n"/>
      <c r="R36" s="28" t="n"/>
      <c r="S36" s="28" t="inlineStr">
        <is>
          <t>10LAB10GH101</t>
        </is>
      </c>
      <c r="T36" s="32" t="n"/>
    </row>
    <row r="37" ht="30" customFormat="1" customHeight="1" s="5">
      <c r="A37" s="17" t="n">
        <v>35</v>
      </c>
      <c r="B37" s="17" t="inlineStr">
        <is>
          <t>KIPP10</t>
        </is>
      </c>
      <c r="C37" s="2" t="inlineStr">
        <is>
          <t>10LAB10CP102</t>
        </is>
      </c>
      <c r="D37" s="14" t="inlineStr">
        <is>
          <t>BOILER FEED WATER PUMP-B HP DISCHARGE PT</t>
        </is>
      </c>
      <c r="E37" s="37" t="n"/>
      <c r="F37" s="103" t="n">
        <v>-1</v>
      </c>
      <c r="G37" s="103" t="n">
        <v>500</v>
      </c>
      <c r="H37" s="103" t="n">
        <v>0</v>
      </c>
      <c r="I37" s="103" t="n">
        <v>218</v>
      </c>
      <c r="J37" s="4" t="inlineStr">
        <is>
          <t>Bar</t>
        </is>
      </c>
      <c r="K37" s="19" t="inlineStr">
        <is>
          <t>YOKOGAWA</t>
        </is>
      </c>
      <c r="L37" s="19" t="inlineStr">
        <is>
          <t>EJA530E</t>
        </is>
      </c>
      <c r="M37" s="19" t="inlineStr">
        <is>
          <t>91S313321</t>
        </is>
      </c>
      <c r="N37" s="2">
        <f>IF(E37="","Waiting","Calibrated")</f>
        <v/>
      </c>
      <c r="O37" s="2" t="n"/>
      <c r="P37" s="2" t="inlineStr">
        <is>
          <t>ZM06</t>
        </is>
      </c>
      <c r="Q37" s="2" t="n"/>
      <c r="R37" s="28" t="n"/>
      <c r="S37" s="28" t="inlineStr">
        <is>
          <t>10LAB10GH101</t>
        </is>
      </c>
      <c r="T37" s="32" t="n"/>
    </row>
    <row r="38" ht="30" customFormat="1" customHeight="1" s="5">
      <c r="A38" s="17" t="n">
        <v>36</v>
      </c>
      <c r="B38" s="17" t="inlineStr">
        <is>
          <t>KIPP10</t>
        </is>
      </c>
      <c r="C38" s="2" t="inlineStr">
        <is>
          <t>10LAB11CF101</t>
        </is>
      </c>
      <c r="D38" s="14" t="inlineStr">
        <is>
          <t>BOILER FEED WATER PUMP A HP DISCHARGE FT</t>
        </is>
      </c>
      <c r="E38" s="37" t="n"/>
      <c r="F38" s="103" t="n">
        <v>-50986</v>
      </c>
      <c r="G38" s="103" t="n">
        <v>50986</v>
      </c>
      <c r="H38" s="103" t="n">
        <v>0</v>
      </c>
      <c r="I38" s="103" t="n">
        <v>7500</v>
      </c>
      <c r="J38" s="4" t="inlineStr">
        <is>
          <t>mmH2O</t>
        </is>
      </c>
      <c r="K38" s="19" t="inlineStr">
        <is>
          <t>YOKOGAWA</t>
        </is>
      </c>
      <c r="L38" s="19" t="inlineStr">
        <is>
          <t>EJA110E</t>
        </is>
      </c>
      <c r="M38" s="19" t="inlineStr">
        <is>
          <t>91S313539</t>
        </is>
      </c>
      <c r="N38" s="2">
        <f>IF(E38="","Waiting","Calibrated")</f>
        <v/>
      </c>
      <c r="O38" s="2" t="n"/>
      <c r="P38" s="2" t="inlineStr">
        <is>
          <t>ZM06</t>
        </is>
      </c>
      <c r="Q38" s="2" t="n"/>
      <c r="R38" s="28" t="n"/>
      <c r="S38" s="28" t="n"/>
      <c r="T38" s="32" t="n"/>
    </row>
    <row r="39" ht="30" customFormat="1" customHeight="1" s="5">
      <c r="A39" s="17" t="n">
        <v>37</v>
      </c>
      <c r="B39" s="17" t="inlineStr">
        <is>
          <t>KIPP10</t>
        </is>
      </c>
      <c r="C39" s="2" t="inlineStr">
        <is>
          <t>10LAB11CF102</t>
        </is>
      </c>
      <c r="D39" s="14" t="inlineStr">
        <is>
          <t>BOILER FEED WATER PUMP A HP DISCHARGE FT</t>
        </is>
      </c>
      <c r="E39" s="37" t="n"/>
      <c r="F39" s="103" t="n">
        <v>-50986</v>
      </c>
      <c r="G39" s="103" t="n">
        <v>50986</v>
      </c>
      <c r="H39" s="103" t="n">
        <v>0</v>
      </c>
      <c r="I39" s="103" t="n">
        <v>7500</v>
      </c>
      <c r="J39" s="4" t="inlineStr">
        <is>
          <t>mmH2O</t>
        </is>
      </c>
      <c r="K39" s="19" t="inlineStr">
        <is>
          <t>YOKOGAWA</t>
        </is>
      </c>
      <c r="L39" s="19" t="inlineStr">
        <is>
          <t>EJA110E</t>
        </is>
      </c>
      <c r="M39" s="19" t="inlineStr">
        <is>
          <t>91S313542</t>
        </is>
      </c>
      <c r="N39" s="2">
        <f>IF(E39="","Waiting","Calibrated")</f>
        <v/>
      </c>
      <c r="O39" s="2" t="n"/>
      <c r="P39" s="2" t="inlineStr">
        <is>
          <t>ZM06</t>
        </is>
      </c>
      <c r="Q39" s="2" t="n"/>
      <c r="R39" s="28" t="n"/>
      <c r="S39" s="28" t="n"/>
      <c r="T39" s="32" t="n"/>
    </row>
    <row r="40" ht="30" customFormat="1" customHeight="1" s="5">
      <c r="A40" s="17" t="n">
        <v>38</v>
      </c>
      <c r="B40" s="17" t="inlineStr">
        <is>
          <t>KIPP10</t>
        </is>
      </c>
      <c r="C40" s="2" t="inlineStr">
        <is>
          <t>10LAB11CP101</t>
        </is>
      </c>
      <c r="D40" s="14" t="inlineStr">
        <is>
          <t>BOILER FEED WATER PUMP-A HP DISCHARGE PT</t>
        </is>
      </c>
      <c r="E40" s="37" t="n"/>
      <c r="F40" s="103" t="n">
        <v>-1</v>
      </c>
      <c r="G40" s="103" t="n">
        <v>500</v>
      </c>
      <c r="H40" s="103" t="n">
        <v>0</v>
      </c>
      <c r="I40" s="103" t="n">
        <v>218</v>
      </c>
      <c r="J40" s="4" t="inlineStr">
        <is>
          <t>Bar</t>
        </is>
      </c>
      <c r="K40" s="19" t="inlineStr">
        <is>
          <t>YOKOGAWA</t>
        </is>
      </c>
      <c r="L40" s="19" t="inlineStr">
        <is>
          <t>EJA530E</t>
        </is>
      </c>
      <c r="M40" s="19" t="inlineStr">
        <is>
          <t>91S213317</t>
        </is>
      </c>
      <c r="N40" s="2">
        <f>IF(E40="","Waiting","Calibrated")</f>
        <v/>
      </c>
      <c r="O40" s="2" t="n"/>
      <c r="P40" s="2" t="inlineStr">
        <is>
          <t>ZM06</t>
        </is>
      </c>
      <c r="Q40" s="2" t="n"/>
      <c r="R40" s="28" t="n"/>
      <c r="S40" s="28" t="n"/>
      <c r="T40" s="32" t="n"/>
    </row>
    <row r="41" ht="30" customFormat="1" customHeight="1" s="5">
      <c r="A41" s="17" t="n">
        <v>39</v>
      </c>
      <c r="B41" s="17" t="inlineStr">
        <is>
          <t>KIPP10</t>
        </is>
      </c>
      <c r="C41" s="2" t="inlineStr">
        <is>
          <t>10LAB12CF101</t>
        </is>
      </c>
      <c r="D41" s="14" t="inlineStr">
        <is>
          <t>BOILER FEED WATER PUMP B HP DISCHARGE FT</t>
        </is>
      </c>
      <c r="E41" s="37" t="n"/>
      <c r="F41" s="103" t="n">
        <v>-50986</v>
      </c>
      <c r="G41" s="103" t="n">
        <v>50986</v>
      </c>
      <c r="H41" s="103" t="n">
        <v>0</v>
      </c>
      <c r="I41" s="103" t="n">
        <v>7500</v>
      </c>
      <c r="J41" s="4" t="inlineStr">
        <is>
          <t>mmH2O</t>
        </is>
      </c>
      <c r="K41" s="19" t="inlineStr">
        <is>
          <t>YOKOGAWA</t>
        </is>
      </c>
      <c r="L41" s="19" t="inlineStr">
        <is>
          <t>EJA110E</t>
        </is>
      </c>
      <c r="M41" s="19" t="inlineStr">
        <is>
          <t>91S313540</t>
        </is>
      </c>
      <c r="N41" s="2">
        <f>IF(E41="","Waiting","Calibrated")</f>
        <v/>
      </c>
      <c r="O41" s="2" t="n"/>
      <c r="P41" s="2" t="inlineStr">
        <is>
          <t>ZM06</t>
        </is>
      </c>
      <c r="Q41" s="2" t="n"/>
      <c r="R41" s="28" t="n"/>
      <c r="S41" s="28" t="n"/>
      <c r="T41" s="32" t="n"/>
    </row>
    <row r="42" ht="30" customFormat="1" customHeight="1" s="5">
      <c r="A42" s="17" t="n">
        <v>40</v>
      </c>
      <c r="B42" s="17" t="inlineStr">
        <is>
          <t>KIPP10</t>
        </is>
      </c>
      <c r="C42" s="2" t="inlineStr">
        <is>
          <t>10LAB12CF102</t>
        </is>
      </c>
      <c r="D42" s="14" t="inlineStr">
        <is>
          <t>BOILER FEED WATER PUMP B HP DISCHARGE FT</t>
        </is>
      </c>
      <c r="E42" s="37" t="n"/>
      <c r="F42" s="103" t="n">
        <v>-50986</v>
      </c>
      <c r="G42" s="103" t="n">
        <v>50986</v>
      </c>
      <c r="H42" s="103" t="n">
        <v>0</v>
      </c>
      <c r="I42" s="103" t="n">
        <v>7500</v>
      </c>
      <c r="J42" s="4" t="inlineStr">
        <is>
          <t>mmH2O</t>
        </is>
      </c>
      <c r="K42" s="19" t="inlineStr">
        <is>
          <t>YOKOGAWA</t>
        </is>
      </c>
      <c r="L42" s="19" t="inlineStr">
        <is>
          <t>EJA110E</t>
        </is>
      </c>
      <c r="M42" s="19" t="inlineStr">
        <is>
          <t>91S313543</t>
        </is>
      </c>
      <c r="N42" s="2">
        <f>IF(E42="","Waiting","Calibrated")</f>
        <v/>
      </c>
      <c r="O42" s="2" t="n"/>
      <c r="P42" s="2" t="inlineStr">
        <is>
          <t>ZM06</t>
        </is>
      </c>
      <c r="Q42" s="2" t="n"/>
      <c r="R42" s="28" t="n"/>
      <c r="S42" s="28" t="n"/>
      <c r="T42" s="32" t="n"/>
    </row>
    <row r="43" ht="30" customFormat="1" customHeight="1" s="5">
      <c r="A43" s="17" t="n">
        <v>41</v>
      </c>
      <c r="B43" s="17" t="inlineStr">
        <is>
          <t>KIPP10</t>
        </is>
      </c>
      <c r="C43" s="2" t="inlineStr">
        <is>
          <t>10LAB12CP101</t>
        </is>
      </c>
      <c r="D43" s="14" t="inlineStr">
        <is>
          <t>BOILER FEED WATER PUMP-B HP DISCHARGE PT</t>
        </is>
      </c>
      <c r="E43" s="37" t="n"/>
      <c r="F43" s="103" t="n">
        <v>-1</v>
      </c>
      <c r="G43" s="103" t="n">
        <v>500</v>
      </c>
      <c r="H43" s="103" t="n">
        <v>0</v>
      </c>
      <c r="I43" s="103" t="n">
        <v>218</v>
      </c>
      <c r="J43" s="4" t="inlineStr">
        <is>
          <t>Bar</t>
        </is>
      </c>
      <c r="K43" s="19" t="inlineStr">
        <is>
          <t>YOKOGAWA</t>
        </is>
      </c>
      <c r="L43" s="19" t="inlineStr">
        <is>
          <t>EJA530E</t>
        </is>
      </c>
      <c r="M43" s="19" t="inlineStr">
        <is>
          <t>91S213318</t>
        </is>
      </c>
      <c r="N43" s="2">
        <f>IF(E43="","Waiting","Calibrated")</f>
        <v/>
      </c>
      <c r="O43" s="2" t="n"/>
      <c r="P43" s="2" t="inlineStr">
        <is>
          <t>ZM06</t>
        </is>
      </c>
      <c r="Q43" s="2" t="n"/>
      <c r="R43" s="28" t="n"/>
      <c r="S43" s="28" t="n"/>
      <c r="T43" s="32" t="n"/>
    </row>
    <row r="44" ht="30" customFormat="1" customHeight="1" s="5">
      <c r="A44" s="17" t="n">
        <v>42</v>
      </c>
      <c r="B44" s="17" t="inlineStr">
        <is>
          <t>KIPP10</t>
        </is>
      </c>
      <c r="C44" s="2" t="inlineStr">
        <is>
          <t>10LAB13CF101</t>
        </is>
      </c>
      <c r="D44" s="14" t="inlineStr">
        <is>
          <t>BOILER FEED WATER PUMP C HP DISCHARGE FT</t>
        </is>
      </c>
      <c r="E44" s="37" t="n"/>
      <c r="F44" s="103" t="n">
        <v>-50986</v>
      </c>
      <c r="G44" s="103" t="n">
        <v>50986</v>
      </c>
      <c r="H44" s="103" t="n">
        <v>0</v>
      </c>
      <c r="I44" s="103" t="n">
        <v>7500</v>
      </c>
      <c r="J44" s="4" t="inlineStr">
        <is>
          <t>mmH2O</t>
        </is>
      </c>
      <c r="K44" s="19" t="inlineStr">
        <is>
          <t>YOKOGAWA</t>
        </is>
      </c>
      <c r="L44" s="19" t="inlineStr">
        <is>
          <t>EJA110E</t>
        </is>
      </c>
      <c r="M44" s="19" t="inlineStr">
        <is>
          <t>91S313541</t>
        </is>
      </c>
      <c r="N44" s="2">
        <f>IF(E44="","Waiting","Calibrated")</f>
        <v/>
      </c>
      <c r="O44" s="2" t="n"/>
      <c r="P44" s="2" t="inlineStr">
        <is>
          <t>ZM06</t>
        </is>
      </c>
      <c r="Q44" s="2" t="n"/>
      <c r="R44" s="28" t="n"/>
      <c r="S44" s="28" t="n"/>
      <c r="T44" s="32" t="n"/>
    </row>
    <row r="45" ht="30" customFormat="1" customHeight="1" s="5">
      <c r="A45" s="17" t="n">
        <v>43</v>
      </c>
      <c r="B45" s="17" t="inlineStr">
        <is>
          <t>KIPP10</t>
        </is>
      </c>
      <c r="C45" s="2" t="inlineStr">
        <is>
          <t>10LAB13CF102</t>
        </is>
      </c>
      <c r="D45" s="14" t="inlineStr">
        <is>
          <t>BOILER FEED WATER PUMP C HP DISCHARGE FT</t>
        </is>
      </c>
      <c r="E45" s="37" t="n"/>
      <c r="F45" s="103" t="n">
        <v>-50986</v>
      </c>
      <c r="G45" s="103" t="n">
        <v>50986</v>
      </c>
      <c r="H45" s="103" t="n">
        <v>0</v>
      </c>
      <c r="I45" s="103" t="n">
        <v>7500</v>
      </c>
      <c r="J45" s="4" t="inlineStr">
        <is>
          <t>mmH2O</t>
        </is>
      </c>
      <c r="K45" s="19" t="inlineStr">
        <is>
          <t>YOKOGAWA</t>
        </is>
      </c>
      <c r="L45" s="19" t="inlineStr">
        <is>
          <t>EJA110E</t>
        </is>
      </c>
      <c r="M45" s="19" t="inlineStr">
        <is>
          <t>91S313544</t>
        </is>
      </c>
      <c r="N45" s="2">
        <f>IF(E45="","Waiting","Calibrated")</f>
        <v/>
      </c>
      <c r="O45" s="2" t="n"/>
      <c r="P45" s="2" t="inlineStr">
        <is>
          <t>ZM06</t>
        </is>
      </c>
      <c r="Q45" s="2" t="n"/>
      <c r="R45" s="28" t="n"/>
      <c r="S45" s="28" t="n"/>
      <c r="T45" s="32" t="n"/>
    </row>
    <row r="46" ht="30" customFormat="1" customHeight="1" s="5">
      <c r="A46" s="17" t="n">
        <v>44</v>
      </c>
      <c r="B46" s="17" t="inlineStr">
        <is>
          <t>KIPP10</t>
        </is>
      </c>
      <c r="C46" s="2" t="inlineStr">
        <is>
          <t>10LAB13CP101</t>
        </is>
      </c>
      <c r="D46" s="14" t="inlineStr">
        <is>
          <t>BOILER FEED WATER PUMP-C HP DISCHARGE PT</t>
        </is>
      </c>
      <c r="E46" s="37" t="n"/>
      <c r="F46" s="103" t="n">
        <v>-1</v>
      </c>
      <c r="G46" s="103" t="n">
        <v>500</v>
      </c>
      <c r="H46" s="103" t="n">
        <v>0</v>
      </c>
      <c r="I46" s="103" t="n">
        <v>218</v>
      </c>
      <c r="J46" s="4" t="inlineStr">
        <is>
          <t>Bar</t>
        </is>
      </c>
      <c r="K46" s="19" t="inlineStr">
        <is>
          <t>YOKOGAWA</t>
        </is>
      </c>
      <c r="L46" s="19" t="inlineStr">
        <is>
          <t>EJA530E</t>
        </is>
      </c>
      <c r="M46" s="19" t="inlineStr">
        <is>
          <t>91S213319</t>
        </is>
      </c>
      <c r="N46" s="2">
        <f>IF(E46="","Waiting","Calibrated")</f>
        <v/>
      </c>
      <c r="O46" s="2" t="n"/>
      <c r="P46" s="2" t="inlineStr">
        <is>
          <t>ZM06</t>
        </is>
      </c>
      <c r="Q46" s="2" t="n"/>
      <c r="R46" s="28" t="n"/>
      <c r="S46" s="31" t="n"/>
      <c r="T46" s="32" t="n"/>
    </row>
    <row r="47" ht="30" customFormat="1" customHeight="1" s="5">
      <c r="A47" s="17" t="n">
        <v>45</v>
      </c>
      <c r="B47" s="17" t="inlineStr">
        <is>
          <t>KIPP10</t>
        </is>
      </c>
      <c r="C47" s="2" t="inlineStr">
        <is>
          <t>10LAB15CP101</t>
        </is>
      </c>
      <c r="D47" s="14" t="inlineStr">
        <is>
          <t>CPH PUMP DISCHARGE LINE PT A</t>
        </is>
      </c>
      <c r="E47" s="37" t="n"/>
      <c r="F47" s="103" t="n">
        <v>-1</v>
      </c>
      <c r="G47" s="103" t="n">
        <v>100</v>
      </c>
      <c r="H47" s="103" t="n">
        <v>0</v>
      </c>
      <c r="I47" s="103" t="n">
        <v>39</v>
      </c>
      <c r="J47" s="4" t="inlineStr">
        <is>
          <t>Bar</t>
        </is>
      </c>
      <c r="K47" s="19" t="inlineStr">
        <is>
          <t>YOKOGAWA</t>
        </is>
      </c>
      <c r="L47" s="19" t="inlineStr">
        <is>
          <t>EJA530E</t>
        </is>
      </c>
      <c r="M47" s="19" t="inlineStr">
        <is>
          <t>91S313311</t>
        </is>
      </c>
      <c r="N47" s="2">
        <f>IF(E47="","Waiting","Calibrated")</f>
        <v/>
      </c>
      <c r="O47" s="2" t="n"/>
      <c r="P47" s="2" t="inlineStr">
        <is>
          <t>ZM06</t>
        </is>
      </c>
      <c r="Q47" s="2" t="n"/>
      <c r="R47" s="28" t="n"/>
      <c r="S47" s="31" t="n"/>
      <c r="T47" s="32" t="n"/>
    </row>
    <row r="48" ht="30" customFormat="1" customHeight="1" s="5">
      <c r="A48" s="17" t="n">
        <v>46</v>
      </c>
      <c r="B48" s="17" t="inlineStr">
        <is>
          <t>KIPP10</t>
        </is>
      </c>
      <c r="C48" s="2" t="inlineStr">
        <is>
          <t>10LAB15CP102</t>
        </is>
      </c>
      <c r="D48" s="14" t="inlineStr">
        <is>
          <t>CPH PUMP DISCHARGE LINE PT B</t>
        </is>
      </c>
      <c r="E48" s="37" t="n"/>
      <c r="F48" s="103" t="n">
        <v>-1</v>
      </c>
      <c r="G48" s="103" t="n">
        <v>100</v>
      </c>
      <c r="H48" s="103" t="n">
        <v>0</v>
      </c>
      <c r="I48" s="103" t="n">
        <v>39</v>
      </c>
      <c r="J48" s="4" t="inlineStr">
        <is>
          <t>Bar</t>
        </is>
      </c>
      <c r="K48" s="19" t="inlineStr">
        <is>
          <t>YOKOGAWA</t>
        </is>
      </c>
      <c r="L48" s="19" t="inlineStr">
        <is>
          <t>EJA530E</t>
        </is>
      </c>
      <c r="M48" s="19" t="inlineStr">
        <is>
          <t>91S313312</t>
        </is>
      </c>
      <c r="N48" s="2">
        <f>IF(E48="","Waiting","Calibrated")</f>
        <v/>
      </c>
      <c r="O48" s="2" t="n"/>
      <c r="P48" s="2" t="inlineStr">
        <is>
          <t>ZM06</t>
        </is>
      </c>
      <c r="Q48" s="2" t="n"/>
      <c r="R48" s="28" t="n"/>
      <c r="S48" s="31" t="n"/>
      <c r="T48" s="32" t="n"/>
    </row>
    <row r="49" ht="30" customFormat="1" customHeight="1" s="5">
      <c r="A49" s="17" t="n">
        <v>47</v>
      </c>
      <c r="B49" s="17" t="inlineStr">
        <is>
          <t>KIPP10</t>
        </is>
      </c>
      <c r="C49" s="2" t="inlineStr">
        <is>
          <t>10LAB16CP101</t>
        </is>
      </c>
      <c r="D49" s="14" t="inlineStr">
        <is>
          <t>CPH PUMP-A DISCHARGE PRESS.</t>
        </is>
      </c>
      <c r="E49" s="37" t="n"/>
      <c r="F49" s="103" t="n">
        <v>-1</v>
      </c>
      <c r="G49" s="103" t="n">
        <v>100</v>
      </c>
      <c r="H49" s="103" t="n">
        <v>0</v>
      </c>
      <c r="I49" s="103" t="n">
        <v>39</v>
      </c>
      <c r="J49" s="4" t="inlineStr">
        <is>
          <t>Bar</t>
        </is>
      </c>
      <c r="K49" s="19" t="inlineStr">
        <is>
          <t>YOKOGAWA</t>
        </is>
      </c>
      <c r="L49" s="19" t="inlineStr">
        <is>
          <t>EJA530E</t>
        </is>
      </c>
      <c r="M49" s="19" t="inlineStr">
        <is>
          <t>91S213304</t>
        </is>
      </c>
      <c r="N49" s="2">
        <f>IF(E49="","Waiting","Calibrated")</f>
        <v/>
      </c>
      <c r="O49" s="2" t="n"/>
      <c r="P49" s="2" t="inlineStr">
        <is>
          <t>ZM06</t>
        </is>
      </c>
      <c r="Q49" s="2" t="n"/>
      <c r="R49" s="28" t="n"/>
      <c r="S49" s="31" t="n"/>
      <c r="T49" s="32" t="n"/>
    </row>
    <row r="50" ht="30" customFormat="1" customHeight="1" s="5">
      <c r="A50" s="17" t="n">
        <v>48</v>
      </c>
      <c r="B50" s="17" t="inlineStr">
        <is>
          <t>KIPP10</t>
        </is>
      </c>
      <c r="C50" s="2" t="inlineStr">
        <is>
          <t>10LAB17CP101</t>
        </is>
      </c>
      <c r="D50" s="14" t="inlineStr">
        <is>
          <t>CPH PUMP-B DISCHARGE PRESS.</t>
        </is>
      </c>
      <c r="E50" s="37" t="n"/>
      <c r="F50" s="103" t="n">
        <v>-1</v>
      </c>
      <c r="G50" s="103" t="n">
        <v>100</v>
      </c>
      <c r="H50" s="103" t="n">
        <v>0</v>
      </c>
      <c r="I50" s="103" t="n">
        <v>39</v>
      </c>
      <c r="J50" s="4" t="inlineStr">
        <is>
          <t>Bar</t>
        </is>
      </c>
      <c r="K50" s="19" t="inlineStr">
        <is>
          <t>YOKOGAWA</t>
        </is>
      </c>
      <c r="L50" s="19" t="inlineStr">
        <is>
          <t>EJA530E</t>
        </is>
      </c>
      <c r="M50" s="19" t="inlineStr">
        <is>
          <t>91S313305</t>
        </is>
      </c>
      <c r="N50" s="2">
        <f>IF(E50="","Waiting","Calibrated")</f>
        <v/>
      </c>
      <c r="O50" s="2" t="n"/>
      <c r="P50" s="2" t="inlineStr">
        <is>
          <t>ZM06</t>
        </is>
      </c>
      <c r="Q50" s="2" t="n"/>
      <c r="R50" s="28" t="n"/>
      <c r="S50" s="28" t="n"/>
      <c r="T50" s="32" t="n"/>
    </row>
    <row r="51" ht="30" customFormat="1" customHeight="1" s="5">
      <c r="A51" s="17" t="n">
        <v>49</v>
      </c>
      <c r="B51" s="17" t="inlineStr">
        <is>
          <t>KIPP10</t>
        </is>
      </c>
      <c r="C51" s="2" t="inlineStr">
        <is>
          <t>10LAB18CP101</t>
        </is>
      </c>
      <c r="D51" s="14" t="inlineStr">
        <is>
          <t>CPH PUMP-C DISCHARGE PRESS.</t>
        </is>
      </c>
      <c r="E51" s="37" t="n"/>
      <c r="F51" s="103" t="n">
        <v>-1</v>
      </c>
      <c r="G51" s="103" t="n">
        <v>100</v>
      </c>
      <c r="H51" s="103" t="n">
        <v>0</v>
      </c>
      <c r="I51" s="103" t="n">
        <v>39</v>
      </c>
      <c r="J51" s="4" t="inlineStr">
        <is>
          <t>Bar</t>
        </is>
      </c>
      <c r="K51" s="19" t="inlineStr">
        <is>
          <t>YOKOGAWA</t>
        </is>
      </c>
      <c r="L51" s="19" t="inlineStr">
        <is>
          <t>EJA530E</t>
        </is>
      </c>
      <c r="M51" s="19" t="inlineStr">
        <is>
          <t>91S313306</t>
        </is>
      </c>
      <c r="N51" s="2">
        <f>IF(E51="","Waiting","Calibrated")</f>
        <v/>
      </c>
      <c r="O51" s="2" t="n"/>
      <c r="P51" s="2" t="inlineStr">
        <is>
          <t>ZM06</t>
        </is>
      </c>
      <c r="Q51" s="2" t="n"/>
      <c r="R51" s="28" t="n"/>
      <c r="S51" s="28" t="n"/>
      <c r="T51" s="32" t="n"/>
    </row>
    <row r="52" ht="30" customFormat="1" customHeight="1" s="5">
      <c r="A52" s="17" t="n">
        <v>50</v>
      </c>
      <c r="B52" s="17" t="inlineStr">
        <is>
          <t>KIPP10</t>
        </is>
      </c>
      <c r="C52" s="2" t="inlineStr">
        <is>
          <t>10LAB24CF101</t>
        </is>
      </c>
      <c r="D52" s="14" t="inlineStr">
        <is>
          <t>CRH STEAM BYPASS SPRAYAY WATER FT</t>
        </is>
      </c>
      <c r="E52" s="37" t="n">
        <v>46097</v>
      </c>
      <c r="F52" s="103" t="n">
        <v>-10197.2</v>
      </c>
      <c r="G52" s="103" t="n">
        <v>10197.2</v>
      </c>
      <c r="H52" s="103" t="n">
        <v>0</v>
      </c>
      <c r="I52" s="103" t="n">
        <v>2500</v>
      </c>
      <c r="J52" s="4" t="inlineStr">
        <is>
          <t>mmH2O</t>
        </is>
      </c>
      <c r="K52" s="19" t="inlineStr">
        <is>
          <t>YOKOGAWA</t>
        </is>
      </c>
      <c r="L52" s="19" t="inlineStr">
        <is>
          <t>EJA110E</t>
        </is>
      </c>
      <c r="M52" s="19" t="inlineStr">
        <is>
          <t>91S313064</t>
        </is>
      </c>
      <c r="N52" s="2">
        <f>IF(E52="","Waiting","Calibrated")</f>
        <v/>
      </c>
      <c r="O52" s="2" t="n"/>
      <c r="P52" s="2" t="inlineStr">
        <is>
          <t>ZM06</t>
        </is>
      </c>
      <c r="Q52" s="2" t="n"/>
      <c r="R52" s="28" t="n"/>
      <c r="S52" s="28" t="n"/>
      <c r="T52" s="32" t="n"/>
    </row>
    <row r="53" ht="30" customFormat="1" customHeight="1" s="5">
      <c r="A53" s="17" t="n">
        <v>51</v>
      </c>
      <c r="B53" s="17" t="inlineStr">
        <is>
          <t>KIPP10</t>
        </is>
      </c>
      <c r="C53" s="2" t="inlineStr">
        <is>
          <t>10LAB30CP101</t>
        </is>
      </c>
      <c r="D53" s="14" t="inlineStr">
        <is>
          <t>BOILER FEED WATER PUMP IP DISCHARGE PT-A</t>
        </is>
      </c>
      <c r="E53" s="37" t="n"/>
      <c r="F53" s="103" t="n">
        <v>-1</v>
      </c>
      <c r="G53" s="103" t="n">
        <v>500</v>
      </c>
      <c r="H53" s="103" t="n">
        <v>0</v>
      </c>
      <c r="I53" s="103" t="n">
        <v>81</v>
      </c>
      <c r="J53" s="4" t="inlineStr">
        <is>
          <t>Bar</t>
        </is>
      </c>
      <c r="K53" s="19" t="inlineStr">
        <is>
          <t>YOKOGAWA</t>
        </is>
      </c>
      <c r="L53" s="19" t="inlineStr">
        <is>
          <t>EJA530E</t>
        </is>
      </c>
      <c r="M53" s="19" t="inlineStr">
        <is>
          <t>91S313218</t>
        </is>
      </c>
      <c r="N53" s="2">
        <f>IF(E53="","Waiting","Calibrated")</f>
        <v/>
      </c>
      <c r="O53" s="2" t="n"/>
      <c r="P53" s="2" t="inlineStr">
        <is>
          <t>ZM06</t>
        </is>
      </c>
      <c r="Q53" s="2" t="n"/>
      <c r="R53" s="28" t="n"/>
      <c r="S53" s="28" t="inlineStr">
        <is>
          <t>10LAB10GH101</t>
        </is>
      </c>
      <c r="T53" s="32" t="n"/>
    </row>
    <row r="54" ht="30" customFormat="1" customHeight="1" s="5">
      <c r="A54" s="17" t="n">
        <v>52</v>
      </c>
      <c r="B54" s="17" t="inlineStr">
        <is>
          <t>KIPP10</t>
        </is>
      </c>
      <c r="C54" s="2" t="inlineStr">
        <is>
          <t>10LAB30CP102</t>
        </is>
      </c>
      <c r="D54" s="14" t="inlineStr">
        <is>
          <t>BOILER FEED WATER PUMP IP DISCHARGE PT-B</t>
        </is>
      </c>
      <c r="E54" s="37" t="n"/>
      <c r="F54" s="103" t="n">
        <v>-1</v>
      </c>
      <c r="G54" s="103" t="n">
        <v>500</v>
      </c>
      <c r="H54" s="103" t="n">
        <v>0</v>
      </c>
      <c r="I54" s="103" t="n">
        <v>81</v>
      </c>
      <c r="J54" s="4" t="inlineStr">
        <is>
          <t>Bar</t>
        </is>
      </c>
      <c r="K54" s="19" t="inlineStr">
        <is>
          <t>YOKOGAWA</t>
        </is>
      </c>
      <c r="L54" s="19" t="inlineStr">
        <is>
          <t>EJA530E</t>
        </is>
      </c>
      <c r="M54" s="19" t="inlineStr">
        <is>
          <t>91S313220</t>
        </is>
      </c>
      <c r="N54" s="2">
        <f>IF(E54="","Waiting","Calibrated")</f>
        <v/>
      </c>
      <c r="O54" s="2" t="n"/>
      <c r="P54" s="2" t="inlineStr">
        <is>
          <t>ZM06</t>
        </is>
      </c>
      <c r="Q54" s="2" t="n"/>
      <c r="R54" s="28" t="n"/>
      <c r="S54" s="28" t="inlineStr">
        <is>
          <t>10LAB10GH101</t>
        </is>
      </c>
      <c r="T54" s="32" t="n"/>
    </row>
    <row r="55" ht="30" customFormat="1" customHeight="1" s="5">
      <c r="A55" s="17" t="n">
        <v>53</v>
      </c>
      <c r="B55" s="17" t="inlineStr">
        <is>
          <t>KIPP10</t>
        </is>
      </c>
      <c r="C55" s="2" t="inlineStr">
        <is>
          <t>10LAB31CP101</t>
        </is>
      </c>
      <c r="D55" s="14" t="inlineStr">
        <is>
          <t>BFWP A  IP DISCHARGE PRESS.</t>
        </is>
      </c>
      <c r="E55" s="37" t="n"/>
      <c r="F55" s="103" t="n">
        <v>-1</v>
      </c>
      <c r="G55" s="103" t="n">
        <v>100</v>
      </c>
      <c r="H55" s="103" t="n">
        <v>0</v>
      </c>
      <c r="I55" s="103" t="n">
        <v>81</v>
      </c>
      <c r="J55" s="4" t="inlineStr">
        <is>
          <t>Bar</t>
        </is>
      </c>
      <c r="K55" s="19" t="inlineStr">
        <is>
          <t>YOKOGAWA</t>
        </is>
      </c>
      <c r="L55" s="19" t="inlineStr">
        <is>
          <t>EJA530E</t>
        </is>
      </c>
      <c r="M55" s="19" t="inlineStr">
        <is>
          <t>91S313299</t>
        </is>
      </c>
      <c r="N55" s="2">
        <f>IF(E55="","Waiting","Calibrated")</f>
        <v/>
      </c>
      <c r="O55" s="2" t="n"/>
      <c r="P55" s="2" t="inlineStr">
        <is>
          <t>ZM06</t>
        </is>
      </c>
      <c r="Q55" s="2" t="n"/>
      <c r="R55" s="28" t="n"/>
      <c r="S55" s="28" t="n"/>
      <c r="T55" s="32" t="n"/>
    </row>
    <row r="56" ht="30" customFormat="1" customHeight="1" s="5">
      <c r="A56" s="17" t="n">
        <v>54</v>
      </c>
      <c r="B56" s="17" t="inlineStr">
        <is>
          <t>KIPP10</t>
        </is>
      </c>
      <c r="C56" s="2" t="inlineStr">
        <is>
          <t>10LAB32CP101</t>
        </is>
      </c>
      <c r="D56" s="14" t="inlineStr">
        <is>
          <t>BFWP B IP DISCHARGE PRESS.</t>
        </is>
      </c>
      <c r="E56" s="37" t="n"/>
      <c r="F56" s="103" t="n">
        <v>-1</v>
      </c>
      <c r="G56" s="103" t="n">
        <v>100</v>
      </c>
      <c r="H56" s="103" t="n">
        <v>0</v>
      </c>
      <c r="I56" s="103" t="n">
        <v>81</v>
      </c>
      <c r="J56" s="4" t="inlineStr">
        <is>
          <t>Bar</t>
        </is>
      </c>
      <c r="K56" s="19" t="inlineStr">
        <is>
          <t>YOKOGAWA</t>
        </is>
      </c>
      <c r="L56" s="19" t="inlineStr">
        <is>
          <t>EJA530E</t>
        </is>
      </c>
      <c r="M56" s="19" t="inlineStr">
        <is>
          <t>91S313300</t>
        </is>
      </c>
      <c r="N56" s="2">
        <f>IF(E56="","Waiting","Calibrated")</f>
        <v/>
      </c>
      <c r="O56" s="2" t="n"/>
      <c r="P56" s="2" t="inlineStr">
        <is>
          <t>ZM06</t>
        </is>
      </c>
      <c r="Q56" s="2" t="n"/>
      <c r="R56" s="28" t="n"/>
      <c r="S56" s="28" t="n"/>
      <c r="T56" s="32" t="n"/>
    </row>
    <row r="57" ht="30" customFormat="1" customHeight="1" s="5">
      <c r="A57" s="17" t="n">
        <v>55</v>
      </c>
      <c r="B57" s="17" t="inlineStr">
        <is>
          <t>KIPP10</t>
        </is>
      </c>
      <c r="C57" s="2" t="inlineStr">
        <is>
          <t>10LAB33CP101</t>
        </is>
      </c>
      <c r="D57" s="14" t="inlineStr">
        <is>
          <t>BFWP C IP DISCHARGE PRESS.</t>
        </is>
      </c>
      <c r="E57" s="37" t="n"/>
      <c r="F57" s="103" t="n">
        <v>-1</v>
      </c>
      <c r="G57" s="103" t="n">
        <v>100</v>
      </c>
      <c r="H57" s="103" t="n">
        <v>0</v>
      </c>
      <c r="I57" s="103" t="n">
        <v>81</v>
      </c>
      <c r="J57" s="4" t="inlineStr">
        <is>
          <t>Bar</t>
        </is>
      </c>
      <c r="K57" s="19" t="inlineStr">
        <is>
          <t>YOKOGAWA</t>
        </is>
      </c>
      <c r="L57" s="19" t="inlineStr">
        <is>
          <t>EJA530E</t>
        </is>
      </c>
      <c r="M57" s="19" t="inlineStr">
        <is>
          <t>91S313301</t>
        </is>
      </c>
      <c r="N57" s="2">
        <f>IF(E57="","Waiting","Calibrated")</f>
        <v/>
      </c>
      <c r="O57" s="2" t="n"/>
      <c r="P57" s="2" t="inlineStr">
        <is>
          <t>ZM06</t>
        </is>
      </c>
      <c r="Q57" s="2" t="n"/>
      <c r="R57" s="28" t="n"/>
      <c r="S57" s="28" t="n"/>
      <c r="T57" s="32" t="n"/>
    </row>
    <row r="58" ht="30" customFormat="1" customHeight="1" s="5">
      <c r="A58" s="17" t="n">
        <v>56</v>
      </c>
      <c r="B58" s="17" t="inlineStr">
        <is>
          <t>KIPP10</t>
        </is>
      </c>
      <c r="C58" s="2" t="inlineStr">
        <is>
          <t>10LBA10CP001</t>
        </is>
      </c>
      <c r="D58" s="14" t="inlineStr">
        <is>
          <t>P LP STEAM BFR ST</t>
        </is>
      </c>
      <c r="E58" s="37" t="n">
        <v>46104</v>
      </c>
      <c r="F58" s="103" t="n">
        <v>-1</v>
      </c>
      <c r="G58" s="103" t="n">
        <v>20</v>
      </c>
      <c r="H58" s="103" t="n">
        <v>-1</v>
      </c>
      <c r="I58" s="103" t="n">
        <v>10</v>
      </c>
      <c r="J58" s="4" t="inlineStr">
        <is>
          <t>Bar</t>
        </is>
      </c>
      <c r="K58" s="19" t="inlineStr">
        <is>
          <t>YOKOGAWA</t>
        </is>
      </c>
      <c r="L58" s="19" t="inlineStr">
        <is>
          <t>EJA530E</t>
        </is>
      </c>
      <c r="M58" s="19" t="inlineStr">
        <is>
          <t>91S313251</t>
        </is>
      </c>
      <c r="N58" s="2">
        <f>IF(E58="","Waiting","Calibrated")</f>
        <v/>
      </c>
      <c r="O58" s="2" t="n"/>
      <c r="P58" s="2" t="inlineStr">
        <is>
          <t>ZM06</t>
        </is>
      </c>
      <c r="Q58" s="2" t="n"/>
      <c r="R58" s="28" t="n"/>
      <c r="S58" s="28" t="n"/>
      <c r="T58" s="32" t="n"/>
    </row>
    <row r="59" ht="30" customFormat="1" customHeight="1" s="5">
      <c r="A59" s="17" t="n">
        <v>57</v>
      </c>
      <c r="B59" s="17" t="inlineStr">
        <is>
          <t>KIPP10</t>
        </is>
      </c>
      <c r="C59" s="2" t="inlineStr">
        <is>
          <t>10LBA10CP002</t>
        </is>
      </c>
      <c r="D59" s="14" t="inlineStr">
        <is>
          <t>P LP STEAM BFR ST</t>
        </is>
      </c>
      <c r="E59" s="37" t="n">
        <v>46104</v>
      </c>
      <c r="F59" s="103" t="n">
        <v>-1</v>
      </c>
      <c r="G59" s="103" t="n">
        <v>20</v>
      </c>
      <c r="H59" s="103" t="n">
        <v>-1</v>
      </c>
      <c r="I59" s="103" t="n">
        <v>10</v>
      </c>
      <c r="J59" s="4" t="inlineStr">
        <is>
          <t>Bar</t>
        </is>
      </c>
      <c r="K59" s="19" t="inlineStr">
        <is>
          <t>YOKOGAWA</t>
        </is>
      </c>
      <c r="L59" s="19" t="inlineStr">
        <is>
          <t>EJA530E</t>
        </is>
      </c>
      <c r="M59" s="19" t="inlineStr">
        <is>
          <t>91S313252</t>
        </is>
      </c>
      <c r="N59" s="2">
        <f>IF(E59="","Waiting","Calibrated")</f>
        <v/>
      </c>
      <c r="O59" s="2" t="n"/>
      <c r="P59" s="2" t="inlineStr">
        <is>
          <t>ZM06</t>
        </is>
      </c>
      <c r="Q59" s="2" t="n"/>
      <c r="R59" s="28" t="n"/>
      <c r="S59" s="28" t="n"/>
      <c r="T59" s="32" t="n"/>
    </row>
    <row r="60" ht="30" customFormat="1" customHeight="1" s="5">
      <c r="A60" s="17" t="n">
        <v>58</v>
      </c>
      <c r="B60" s="17" t="inlineStr">
        <is>
          <t>KIPP10</t>
        </is>
      </c>
      <c r="C60" s="2" t="inlineStr">
        <is>
          <t>10LBA50CP001</t>
        </is>
      </c>
      <c r="D60" s="14" t="inlineStr">
        <is>
          <t>P HP STEAM BFR ST</t>
        </is>
      </c>
      <c r="E60" s="37" t="n">
        <v>46099</v>
      </c>
      <c r="F60" s="103" t="n">
        <v>-1</v>
      </c>
      <c r="G60" s="103" t="n">
        <v>500</v>
      </c>
      <c r="H60" s="103" t="n">
        <v>-1</v>
      </c>
      <c r="I60" s="103" t="n">
        <v>150</v>
      </c>
      <c r="J60" s="4" t="inlineStr">
        <is>
          <t>Bar</t>
        </is>
      </c>
      <c r="K60" s="19" t="inlineStr">
        <is>
          <t>YOKOGAWA</t>
        </is>
      </c>
      <c r="L60" s="19" t="inlineStr">
        <is>
          <t>EJA530E</t>
        </is>
      </c>
      <c r="M60" s="19" t="inlineStr">
        <is>
          <t>91S313322</t>
        </is>
      </c>
      <c r="N60" s="2">
        <f>IF(E60="","Waiting","Calibrated")</f>
        <v/>
      </c>
      <c r="O60" s="2" t="n"/>
      <c r="P60" s="2" t="inlineStr">
        <is>
          <t>ZM06</t>
        </is>
      </c>
      <c r="Q60" s="2" t="n"/>
      <c r="R60" s="28" t="n"/>
      <c r="S60" s="28" t="inlineStr">
        <is>
          <t>STG BINASI ZEMIN</t>
        </is>
      </c>
      <c r="T60" s="32" t="n"/>
    </row>
    <row r="61" ht="30" customFormat="1" customHeight="1" s="5">
      <c r="A61" s="17" t="n">
        <v>59</v>
      </c>
      <c r="B61" s="17" t="inlineStr">
        <is>
          <t>KIPP10</t>
        </is>
      </c>
      <c r="C61" s="2" t="inlineStr">
        <is>
          <t>10LBA50CP002</t>
        </is>
      </c>
      <c r="D61" s="14" t="inlineStr">
        <is>
          <t>P HP STEAM BFR ST</t>
        </is>
      </c>
      <c r="E61" s="37" t="n">
        <v>46099</v>
      </c>
      <c r="F61" s="103" t="n">
        <v>-1</v>
      </c>
      <c r="G61" s="103" t="n">
        <v>500</v>
      </c>
      <c r="H61" s="103" t="n">
        <v>-1</v>
      </c>
      <c r="I61" s="103" t="n">
        <v>150</v>
      </c>
      <c r="J61" s="4" t="inlineStr">
        <is>
          <t>Bar</t>
        </is>
      </c>
      <c r="K61" s="19" t="inlineStr">
        <is>
          <t>YOKOGAWA</t>
        </is>
      </c>
      <c r="L61" s="19" t="inlineStr">
        <is>
          <t>EJA530E</t>
        </is>
      </c>
      <c r="M61" s="19" t="inlineStr">
        <is>
          <t>91S313323</t>
        </is>
      </c>
      <c r="N61" s="2">
        <f>IF(E61="","Waiting","Calibrated")</f>
        <v/>
      </c>
      <c r="O61" s="2" t="n"/>
      <c r="P61" s="2" t="inlineStr">
        <is>
          <t>ZM06</t>
        </is>
      </c>
      <c r="Q61" s="2" t="n"/>
      <c r="R61" s="28" t="n"/>
      <c r="S61" s="28" t="inlineStr">
        <is>
          <t>STG BINASI ZEMIN</t>
        </is>
      </c>
      <c r="T61" s="32" t="n"/>
    </row>
    <row r="62" ht="30" customFormat="1" customHeight="1" s="5">
      <c r="A62" s="17" t="n">
        <v>60</v>
      </c>
      <c r="B62" s="17" t="inlineStr">
        <is>
          <t>KIPP10</t>
        </is>
      </c>
      <c r="C62" s="2" t="inlineStr">
        <is>
          <t>10LBB41CP001</t>
        </is>
      </c>
      <c r="D62" s="14" t="inlineStr">
        <is>
          <t>P IP STEAM BFR ST</t>
        </is>
      </c>
      <c r="E62" s="37" t="n">
        <v>46099</v>
      </c>
      <c r="F62" s="103" t="n">
        <v>-1</v>
      </c>
      <c r="G62" s="103" t="n">
        <v>100</v>
      </c>
      <c r="H62" s="103" t="n">
        <v>-1</v>
      </c>
      <c r="I62" s="103" t="n">
        <v>40</v>
      </c>
      <c r="J62" s="4" t="inlineStr">
        <is>
          <t>Bar</t>
        </is>
      </c>
      <c r="K62" s="19" t="inlineStr">
        <is>
          <t>YOKOGAWA</t>
        </is>
      </c>
      <c r="L62" s="19" t="inlineStr">
        <is>
          <t>EJA530E</t>
        </is>
      </c>
      <c r="M62" s="19" t="inlineStr">
        <is>
          <t>91S313307</t>
        </is>
      </c>
      <c r="N62" s="2">
        <f>IF(E62="","Waiting","Calibrated")</f>
        <v/>
      </c>
      <c r="O62" s="2" t="n"/>
      <c r="P62" s="2" t="inlineStr">
        <is>
          <t>ZM06</t>
        </is>
      </c>
      <c r="Q62" s="2" t="n"/>
      <c r="R62" s="28" t="n"/>
      <c r="S62" s="28" t="n"/>
      <c r="T62" s="32" t="n"/>
    </row>
    <row r="63" ht="30" customFormat="1" customHeight="1" s="5">
      <c r="A63" s="17" t="n">
        <v>61</v>
      </c>
      <c r="B63" s="17" t="inlineStr">
        <is>
          <t>KIPP10</t>
        </is>
      </c>
      <c r="C63" s="2" t="inlineStr">
        <is>
          <t>10LBB42CP001</t>
        </is>
      </c>
      <c r="D63" s="14" t="inlineStr">
        <is>
          <t>P IP STEAM BFR ST</t>
        </is>
      </c>
      <c r="E63" s="37" t="n">
        <v>46099</v>
      </c>
      <c r="F63" s="103" t="n">
        <v>-1</v>
      </c>
      <c r="G63" s="103" t="n">
        <v>100</v>
      </c>
      <c r="H63" s="103" t="n">
        <v>-1</v>
      </c>
      <c r="I63" s="103" t="n">
        <v>40</v>
      </c>
      <c r="J63" s="4" t="inlineStr">
        <is>
          <t>Bar</t>
        </is>
      </c>
      <c r="K63" s="19" t="inlineStr">
        <is>
          <t>YOKOGAWA</t>
        </is>
      </c>
      <c r="L63" s="19" t="inlineStr">
        <is>
          <t>EJA530E</t>
        </is>
      </c>
      <c r="M63" s="19" t="inlineStr">
        <is>
          <t>91S313308</t>
        </is>
      </c>
      <c r="N63" s="2">
        <f>IF(E63="","Waiting","Calibrated")</f>
        <v/>
      </c>
      <c r="O63" s="2" t="n"/>
      <c r="P63" s="2" t="inlineStr">
        <is>
          <t>ZM06</t>
        </is>
      </c>
      <c r="Q63" s="2" t="n"/>
      <c r="R63" s="28" t="n"/>
      <c r="S63" s="28" t="n"/>
      <c r="T63" s="32" t="n"/>
    </row>
    <row r="64" ht="30" customFormat="1" customHeight="1" s="5">
      <c r="A64" s="17" t="n">
        <v>62</v>
      </c>
      <c r="B64" s="17" t="inlineStr">
        <is>
          <t>KIPP10</t>
        </is>
      </c>
      <c r="C64" s="2" t="inlineStr">
        <is>
          <t>10LBC10CP001</t>
        </is>
      </c>
      <c r="D64" s="14" t="inlineStr">
        <is>
          <t>P CLD RH STEAM AFT ST</t>
        </is>
      </c>
      <c r="E64" s="37" t="n">
        <v>46099</v>
      </c>
      <c r="F64" s="103" t="n">
        <v>-1</v>
      </c>
      <c r="G64" s="103" t="n">
        <v>100</v>
      </c>
      <c r="H64" s="103" t="n">
        <v>-1</v>
      </c>
      <c r="I64" s="103" t="n">
        <v>50</v>
      </c>
      <c r="J64" s="4" t="inlineStr">
        <is>
          <t>Bar</t>
        </is>
      </c>
      <c r="K64" s="19" t="inlineStr">
        <is>
          <t>YOKOGAWA</t>
        </is>
      </c>
      <c r="L64" s="19" t="inlineStr">
        <is>
          <t>EJA530E</t>
        </is>
      </c>
      <c r="M64" s="19" t="inlineStr">
        <is>
          <t>91S313289</t>
        </is>
      </c>
      <c r="N64" s="2">
        <f>IF(E64="","Waiting","Calibrated")</f>
        <v/>
      </c>
      <c r="O64" s="2" t="n"/>
      <c r="P64" s="2" t="inlineStr">
        <is>
          <t>ZM06</t>
        </is>
      </c>
      <c r="Q64" s="2" t="n"/>
      <c r="R64" s="28" t="n"/>
      <c r="S64" s="28" t="n"/>
      <c r="T64" s="32" t="n"/>
    </row>
    <row r="65" ht="30" customFormat="1" customHeight="1" s="5">
      <c r="A65" s="17" t="n">
        <v>63</v>
      </c>
      <c r="B65" s="17" t="inlineStr">
        <is>
          <t>KIPP10</t>
        </is>
      </c>
      <c r="C65" s="2" t="inlineStr">
        <is>
          <t>10LBC10CP002</t>
        </is>
      </c>
      <c r="D65" s="14" t="inlineStr">
        <is>
          <t>P CLD RH STEAM AFT ST</t>
        </is>
      </c>
      <c r="E65" s="37" t="n">
        <v>46099</v>
      </c>
      <c r="F65" s="103" t="n">
        <v>-1</v>
      </c>
      <c r="G65" s="103" t="n">
        <v>100</v>
      </c>
      <c r="H65" s="103" t="n">
        <v>-1</v>
      </c>
      <c r="I65" s="103" t="n">
        <v>50</v>
      </c>
      <c r="J65" s="4" t="inlineStr">
        <is>
          <t>Bar</t>
        </is>
      </c>
      <c r="K65" s="19" t="inlineStr">
        <is>
          <t>YOKOGAWA</t>
        </is>
      </c>
      <c r="L65" s="19" t="inlineStr">
        <is>
          <t>EJA530E</t>
        </is>
      </c>
      <c r="M65" s="19" t="inlineStr">
        <is>
          <t>91S313290</t>
        </is>
      </c>
      <c r="N65" s="2">
        <f>IF(E65="","Waiting","Calibrated")</f>
        <v/>
      </c>
      <c r="O65" s="2" t="n"/>
      <c r="P65" s="2" t="inlineStr">
        <is>
          <t>ZM06</t>
        </is>
      </c>
      <c r="Q65" s="2" t="n"/>
      <c r="R65" s="28" t="n"/>
      <c r="S65" s="28" t="n"/>
      <c r="T65" s="32" t="n"/>
    </row>
    <row r="66" ht="30" customFormat="1" customHeight="1" s="5">
      <c r="A66" s="17" t="n">
        <v>64</v>
      </c>
      <c r="B66" s="17" t="inlineStr">
        <is>
          <t>KIPP10</t>
        </is>
      </c>
      <c r="C66" s="2" t="inlineStr">
        <is>
          <t>10LBC10CP003</t>
        </is>
      </c>
      <c r="D66" s="14" t="inlineStr">
        <is>
          <t>P CLD RH STEAM AFT ST</t>
        </is>
      </c>
      <c r="E66" s="37" t="n">
        <v>46099</v>
      </c>
      <c r="F66" s="103" t="n">
        <v>-1</v>
      </c>
      <c r="G66" s="103" t="n">
        <v>100</v>
      </c>
      <c r="H66" s="103" t="n">
        <v>-1</v>
      </c>
      <c r="I66" s="103" t="n">
        <v>50</v>
      </c>
      <c r="J66" s="4" t="inlineStr">
        <is>
          <t>Bar</t>
        </is>
      </c>
      <c r="K66" s="19" t="inlineStr">
        <is>
          <t>YOKOGAWA</t>
        </is>
      </c>
      <c r="L66" s="19" t="inlineStr">
        <is>
          <t>EJA530E</t>
        </is>
      </c>
      <c r="M66" s="19" t="inlineStr">
        <is>
          <t>91S313291</t>
        </is>
      </c>
      <c r="N66" s="2">
        <f>IF(E66="","Waiting","Calibrated")</f>
        <v/>
      </c>
      <c r="O66" s="2" t="n"/>
      <c r="P66" s="2" t="inlineStr">
        <is>
          <t>ZM06</t>
        </is>
      </c>
      <c r="Q66" s="2" t="n"/>
      <c r="R66" s="28" t="n"/>
      <c r="S66" s="28" t="n"/>
      <c r="T66" s="32" t="n"/>
    </row>
    <row r="67" ht="30" customFormat="1" customHeight="1" s="5">
      <c r="A67" s="17" t="n">
        <v>65</v>
      </c>
      <c r="B67" s="17" t="inlineStr">
        <is>
          <t>KIPP10</t>
        </is>
      </c>
      <c r="C67" s="2" t="inlineStr">
        <is>
          <t>10LBC10CP101</t>
        </is>
      </c>
      <c r="D67" s="14" t="inlineStr">
        <is>
          <t>STG 10 COLD REHEAT STEAM PRESS.</t>
        </is>
      </c>
      <c r="E67" s="37" t="n">
        <v>46099</v>
      </c>
      <c r="F67" s="103" t="n">
        <v>-1</v>
      </c>
      <c r="G67" s="103" t="n">
        <v>100</v>
      </c>
      <c r="H67" s="103" t="n">
        <v>0</v>
      </c>
      <c r="I67" s="103" t="n">
        <v>43</v>
      </c>
      <c r="J67" s="4" t="inlineStr">
        <is>
          <t>Bar</t>
        </is>
      </c>
      <c r="K67" s="19" t="inlineStr">
        <is>
          <t>YOKOGAWA</t>
        </is>
      </c>
      <c r="L67" s="19" t="inlineStr">
        <is>
          <t>EJA530E</t>
        </is>
      </c>
      <c r="M67" s="19" t="inlineStr">
        <is>
          <t>91S313286</t>
        </is>
      </c>
      <c r="N67" s="2">
        <f>IF(E67="","Waiting","Calibrated")</f>
        <v/>
      </c>
      <c r="O67" s="2" t="n"/>
      <c r="P67" s="2" t="inlineStr">
        <is>
          <t>ZM06</t>
        </is>
      </c>
      <c r="Q67" s="2" t="n"/>
      <c r="R67" s="28" t="n"/>
      <c r="S67" s="28" t="n"/>
      <c r="T67" s="32" t="n"/>
    </row>
    <row r="68" ht="30" customFormat="1" customHeight="1" s="5">
      <c r="A68" s="17" t="n">
        <v>66</v>
      </c>
      <c r="B68" s="17" t="inlineStr">
        <is>
          <t>KIPP10</t>
        </is>
      </c>
      <c r="C68" s="2" t="inlineStr">
        <is>
          <t>10LBG00CP101</t>
        </is>
      </c>
      <c r="D68" s="14" t="inlineStr">
        <is>
          <t>AUXILIARY STEAM LINE PRESS.</t>
        </is>
      </c>
      <c r="E68" s="37" t="n">
        <v>46104</v>
      </c>
      <c r="F68" s="103" t="n">
        <v>-1</v>
      </c>
      <c r="G68" s="103" t="n">
        <v>100</v>
      </c>
      <c r="H68" s="103" t="n">
        <v>0</v>
      </c>
      <c r="I68" s="103" t="n">
        <v>43</v>
      </c>
      <c r="J68" s="4" t="inlineStr">
        <is>
          <t>Bar</t>
        </is>
      </c>
      <c r="K68" s="19" t="inlineStr">
        <is>
          <t>YOKOGAWA</t>
        </is>
      </c>
      <c r="L68" s="19" t="inlineStr">
        <is>
          <t>EJA530E</t>
        </is>
      </c>
      <c r="M68" s="19" t="inlineStr">
        <is>
          <t>91S313292</t>
        </is>
      </c>
      <c r="N68" s="2">
        <f>IF(E68="","Waiting","Calibrated")</f>
        <v/>
      </c>
      <c r="O68" s="2" t="n"/>
      <c r="P68" s="2" t="inlineStr">
        <is>
          <t>ZM06</t>
        </is>
      </c>
      <c r="Q68" s="2" t="n"/>
      <c r="R68" s="28" t="n"/>
      <c r="S68" s="28" t="n"/>
      <c r="T68" s="32" t="n"/>
    </row>
    <row r="69" ht="30" customFormat="1" customHeight="1" s="5">
      <c r="A69" s="17" t="n">
        <v>67</v>
      </c>
      <c r="B69" s="17" t="inlineStr">
        <is>
          <t>KIPP10</t>
        </is>
      </c>
      <c r="C69" s="2" t="inlineStr">
        <is>
          <t>10LBG00CP102</t>
        </is>
      </c>
      <c r="D69" s="14" t="inlineStr">
        <is>
          <t>AUXILIARY STEAM LINE PRESS.</t>
        </is>
      </c>
      <c r="E69" s="37" t="n">
        <v>46104</v>
      </c>
      <c r="F69" s="103" t="n">
        <v>-1</v>
      </c>
      <c r="G69" s="103" t="n">
        <v>100</v>
      </c>
      <c r="H69" s="103" t="n">
        <v>0</v>
      </c>
      <c r="I69" s="103" t="n">
        <v>43</v>
      </c>
      <c r="J69" s="4" t="inlineStr">
        <is>
          <t>Bar</t>
        </is>
      </c>
      <c r="K69" s="19" t="inlineStr">
        <is>
          <t>YOKOGAWA</t>
        </is>
      </c>
      <c r="L69" s="19" t="inlineStr">
        <is>
          <t>EJA530E</t>
        </is>
      </c>
      <c r="M69" s="19" t="inlineStr">
        <is>
          <t>91S313293</t>
        </is>
      </c>
      <c r="N69" s="2">
        <f>IF(E69="","Waiting","Calibrated")</f>
        <v/>
      </c>
      <c r="O69" s="2" t="n"/>
      <c r="P69" s="2" t="inlineStr">
        <is>
          <t>ZM06</t>
        </is>
      </c>
      <c r="Q69" s="2" t="n"/>
      <c r="R69" s="28" t="n"/>
      <c r="S69" s="28" t="n"/>
      <c r="T69" s="32" t="n"/>
    </row>
    <row r="70" ht="30" customFormat="1" customHeight="1" s="5">
      <c r="A70" s="17" t="n">
        <v>68</v>
      </c>
      <c r="B70" s="17" t="inlineStr">
        <is>
          <t>KIPP10</t>
        </is>
      </c>
      <c r="C70" s="2" t="inlineStr">
        <is>
          <t>10LCA01CP102</t>
        </is>
      </c>
      <c r="D70" s="14" t="inlineStr">
        <is>
          <t>CONDENSATE EXTRACTION PUMP-A SUCTION PT</t>
        </is>
      </c>
      <c r="E70" s="37" t="n"/>
      <c r="F70" s="103" t="n">
        <v>-1</v>
      </c>
      <c r="G70" s="103" t="n">
        <v>20</v>
      </c>
      <c r="H70" s="103" t="n">
        <v>-1</v>
      </c>
      <c r="I70" s="103" t="n">
        <v>3</v>
      </c>
      <c r="J70" s="4" t="inlineStr">
        <is>
          <t>Bar</t>
        </is>
      </c>
      <c r="K70" s="19" t="inlineStr">
        <is>
          <t>YOKOGAWA</t>
        </is>
      </c>
      <c r="L70" s="19" t="inlineStr">
        <is>
          <t>EJA530E</t>
        </is>
      </c>
      <c r="M70" s="19" t="inlineStr">
        <is>
          <t>91S313253</t>
        </is>
      </c>
      <c r="N70" s="2">
        <f>IF(E70="","Waiting","Calibrated")</f>
        <v/>
      </c>
      <c r="O70" s="2" t="n"/>
      <c r="P70" s="2" t="inlineStr">
        <is>
          <t>ZM06</t>
        </is>
      </c>
      <c r="Q70" s="2" t="n"/>
      <c r="R70" s="28" t="n"/>
      <c r="S70" s="28" t="n"/>
      <c r="T70" s="32" t="n"/>
    </row>
    <row r="71" ht="30" customFormat="1" customHeight="1" s="5">
      <c r="A71" s="17" t="n">
        <v>69</v>
      </c>
      <c r="B71" s="17" t="inlineStr">
        <is>
          <t>KIPP10</t>
        </is>
      </c>
      <c r="C71" s="2" t="inlineStr">
        <is>
          <t>10LCA02CP102</t>
        </is>
      </c>
      <c r="D71" s="14" t="inlineStr">
        <is>
          <t>CONDENSATE EXTRACTION PUMP-B SUCTION PT</t>
        </is>
      </c>
      <c r="E71" s="37" t="n"/>
      <c r="F71" s="103" t="n">
        <v>-1</v>
      </c>
      <c r="G71" s="103" t="n">
        <v>20</v>
      </c>
      <c r="H71" s="103" t="n">
        <v>-1</v>
      </c>
      <c r="I71" s="103" t="n">
        <v>3</v>
      </c>
      <c r="J71" s="4" t="inlineStr">
        <is>
          <t>Bar</t>
        </is>
      </c>
      <c r="K71" s="19" t="inlineStr">
        <is>
          <t>YOKOGAWA</t>
        </is>
      </c>
      <c r="L71" s="19" t="inlineStr">
        <is>
          <t>EJA530E</t>
        </is>
      </c>
      <c r="M71" s="19" t="inlineStr">
        <is>
          <t>91S313254</t>
        </is>
      </c>
      <c r="N71" s="2">
        <f>IF(E71="","Waiting","Calibrated")</f>
        <v/>
      </c>
      <c r="O71" s="2" t="n"/>
      <c r="P71" s="2" t="inlineStr">
        <is>
          <t>ZM06</t>
        </is>
      </c>
      <c r="Q71" s="2" t="n"/>
      <c r="R71" s="28" t="n"/>
      <c r="S71" s="28" t="n"/>
      <c r="T71" s="32" t="n"/>
    </row>
    <row r="72" ht="30" customFormat="1" customHeight="1" s="5">
      <c r="A72" s="17" t="n">
        <v>70</v>
      </c>
      <c r="B72" s="17" t="inlineStr">
        <is>
          <t>KIPP10</t>
        </is>
      </c>
      <c r="C72" s="2" t="inlineStr">
        <is>
          <t>10LCA03CP102</t>
        </is>
      </c>
      <c r="D72" s="14" t="inlineStr">
        <is>
          <t>CONDENSATE EXTRACTION PUMP-C SUCTION PT</t>
        </is>
      </c>
      <c r="E72" s="37" t="n"/>
      <c r="F72" s="103" t="n">
        <v>-1</v>
      </c>
      <c r="G72" s="103" t="n">
        <v>20</v>
      </c>
      <c r="H72" s="103" t="n">
        <v>-1</v>
      </c>
      <c r="I72" s="103" t="n">
        <v>3</v>
      </c>
      <c r="J72" s="4" t="inlineStr">
        <is>
          <t>Bar</t>
        </is>
      </c>
      <c r="K72" s="19" t="inlineStr">
        <is>
          <t>YOKOGAWA</t>
        </is>
      </c>
      <c r="L72" s="19" t="inlineStr">
        <is>
          <t>EJA530E</t>
        </is>
      </c>
      <c r="M72" s="19" t="inlineStr">
        <is>
          <t>91S313255</t>
        </is>
      </c>
      <c r="N72" s="2">
        <f>IF(E72="","Waiting","Calibrated")</f>
        <v/>
      </c>
      <c r="O72" s="2" t="n"/>
      <c r="P72" s="2" t="inlineStr">
        <is>
          <t>ZM06</t>
        </is>
      </c>
      <c r="Q72" s="2" t="n"/>
      <c r="R72" s="28" t="n"/>
      <c r="S72" s="28" t="n"/>
      <c r="T72" s="32" t="n"/>
    </row>
    <row r="73" ht="30" customFormat="1" customHeight="1" s="5">
      <c r="A73" s="17" t="n">
        <v>71</v>
      </c>
      <c r="B73" s="17" t="inlineStr">
        <is>
          <t>KIPP10</t>
        </is>
      </c>
      <c r="C73" s="2" t="inlineStr">
        <is>
          <t>10LCA10CF101</t>
        </is>
      </c>
      <c r="D73" s="14" t="inlineStr">
        <is>
          <t>CONDENSATE EXTRACTION PUMP DISCHARGE FT</t>
        </is>
      </c>
      <c r="E73" s="37" t="n"/>
      <c r="F73" s="103" t="n">
        <v>-10197.2</v>
      </c>
      <c r="G73" s="103" t="n">
        <v>10197.2</v>
      </c>
      <c r="H73" s="103" t="n">
        <v>0</v>
      </c>
      <c r="I73" s="103" t="n">
        <v>10000</v>
      </c>
      <c r="J73" s="4" t="inlineStr">
        <is>
          <t>mmH2O</t>
        </is>
      </c>
      <c r="K73" s="19" t="inlineStr">
        <is>
          <t>YOKOGAWA</t>
        </is>
      </c>
      <c r="L73" s="19" t="inlineStr">
        <is>
          <t>EJA110E</t>
        </is>
      </c>
      <c r="M73" s="19" t="inlineStr">
        <is>
          <t>91S313066</t>
        </is>
      </c>
      <c r="N73" s="2">
        <f>IF(E73="","Waiting","Calibrated")</f>
        <v/>
      </c>
      <c r="O73" s="2" t="n"/>
      <c r="P73" s="2" t="inlineStr">
        <is>
          <t>ZM06</t>
        </is>
      </c>
      <c r="Q73" s="2" t="n"/>
      <c r="R73" s="28" t="n"/>
      <c r="S73" s="28" t="n"/>
      <c r="T73" s="32" t="n"/>
    </row>
    <row r="74" ht="30" customFormat="1" customHeight="1" s="5">
      <c r="A74" s="17" t="n">
        <v>72</v>
      </c>
      <c r="B74" s="17" t="inlineStr">
        <is>
          <t>KIPP10</t>
        </is>
      </c>
      <c r="C74" s="2" t="inlineStr">
        <is>
          <t>10LCA10CF102</t>
        </is>
      </c>
      <c r="D74" s="14" t="inlineStr">
        <is>
          <t>CONDENSATE EXTRACTION PUMP DISCHARGE FT</t>
        </is>
      </c>
      <c r="E74" s="37" t="n"/>
      <c r="F74" s="103" t="n">
        <v>-10197.2</v>
      </c>
      <c r="G74" s="103" t="n">
        <v>10197.2</v>
      </c>
      <c r="H74" s="103" t="n">
        <v>0</v>
      </c>
      <c r="I74" s="103" t="n">
        <v>10000</v>
      </c>
      <c r="J74" s="4" t="inlineStr">
        <is>
          <t>mmH2O</t>
        </is>
      </c>
      <c r="K74" s="19" t="inlineStr">
        <is>
          <t>YOKOGAWA</t>
        </is>
      </c>
      <c r="L74" s="19" t="inlineStr">
        <is>
          <t>EJA110E</t>
        </is>
      </c>
      <c r="M74" s="19" t="inlineStr">
        <is>
          <t>91S313101</t>
        </is>
      </c>
      <c r="N74" s="2">
        <f>IF(E74="","Waiting","Calibrated")</f>
        <v/>
      </c>
      <c r="O74" s="2" t="n"/>
      <c r="P74" s="2" t="inlineStr">
        <is>
          <t>ZM06</t>
        </is>
      </c>
      <c r="Q74" s="2" t="n"/>
      <c r="R74" s="28" t="n"/>
      <c r="S74" s="28" t="n"/>
      <c r="T74" s="32" t="n"/>
    </row>
    <row r="75" ht="30" customFormat="1" customHeight="1" s="5">
      <c r="A75" s="17" t="n">
        <v>73</v>
      </c>
      <c r="B75" s="17" t="inlineStr">
        <is>
          <t>KIPP10</t>
        </is>
      </c>
      <c r="C75" s="2" t="inlineStr">
        <is>
          <t>10LCA10CP101</t>
        </is>
      </c>
      <c r="D75" s="14" t="inlineStr">
        <is>
          <t>CONDENSATE EXTRACTION PUMP DISCHARGE PT</t>
        </is>
      </c>
      <c r="E75" s="37" t="n">
        <v>46105</v>
      </c>
      <c r="F75" s="103" t="n">
        <v>-1</v>
      </c>
      <c r="G75" s="103" t="n">
        <v>100</v>
      </c>
      <c r="H75" s="103" t="n">
        <v>0</v>
      </c>
      <c r="I75" s="103" t="n">
        <v>35</v>
      </c>
      <c r="J75" s="4" t="inlineStr">
        <is>
          <t>Bar</t>
        </is>
      </c>
      <c r="K75" s="19" t="inlineStr">
        <is>
          <t>YOKOGAWA</t>
        </is>
      </c>
      <c r="L75" s="19" t="inlineStr">
        <is>
          <t>EJA530E</t>
        </is>
      </c>
      <c r="M75" s="19" t="inlineStr">
        <is>
          <t>91S313297</t>
        </is>
      </c>
      <c r="N75" s="2">
        <f>IF(E75="","Waiting","Calibrated")</f>
        <v/>
      </c>
      <c r="O75" s="2" t="n"/>
      <c r="P75" s="2" t="inlineStr">
        <is>
          <t>ZM06</t>
        </is>
      </c>
      <c r="Q75" s="2" t="n"/>
      <c r="R75" s="28" t="n"/>
      <c r="S75" s="28" t="n"/>
      <c r="T75" s="32" t="n"/>
    </row>
    <row r="76" ht="30" customFormat="1" customHeight="1" s="5">
      <c r="A76" s="17" t="n">
        <v>74</v>
      </c>
      <c r="B76" s="17" t="inlineStr">
        <is>
          <t>KIPP10</t>
        </is>
      </c>
      <c r="C76" s="2" t="inlineStr">
        <is>
          <t>10LCA10CP102</t>
        </is>
      </c>
      <c r="D76" s="14" t="inlineStr">
        <is>
          <t>GLAND STEAM CONDENSER OUTLET PT</t>
        </is>
      </c>
      <c r="E76" s="37" t="n">
        <v>46105</v>
      </c>
      <c r="F76" s="103" t="n">
        <v>-1</v>
      </c>
      <c r="G76" s="103" t="n">
        <v>100</v>
      </c>
      <c r="H76" s="103" t="n">
        <v>0</v>
      </c>
      <c r="I76" s="103" t="n">
        <v>35</v>
      </c>
      <c r="J76" s="4" t="inlineStr">
        <is>
          <t>Bar</t>
        </is>
      </c>
      <c r="K76" s="19" t="inlineStr">
        <is>
          <t>YOKOGAWA</t>
        </is>
      </c>
      <c r="L76" s="19" t="inlineStr">
        <is>
          <t>EJA530E</t>
        </is>
      </c>
      <c r="M76" s="19" t="inlineStr">
        <is>
          <t>91S313298</t>
        </is>
      </c>
      <c r="N76" s="2">
        <f>IF(E76="","Waiting","Calibrated")</f>
        <v/>
      </c>
      <c r="O76" s="2" t="n"/>
      <c r="P76" s="2" t="inlineStr">
        <is>
          <t>ZM06</t>
        </is>
      </c>
      <c r="Q76" s="2" t="n"/>
      <c r="R76" s="28" t="n"/>
      <c r="S76" s="28" t="n"/>
      <c r="T76" s="32" t="n"/>
    </row>
    <row r="77" ht="30" customFormat="1" customHeight="1" s="5">
      <c r="A77" s="17" t="n">
        <v>75</v>
      </c>
      <c r="B77" s="17" t="inlineStr">
        <is>
          <t>KIPP10</t>
        </is>
      </c>
      <c r="C77" s="2" t="inlineStr">
        <is>
          <t>10LCA10CP103</t>
        </is>
      </c>
      <c r="D77" s="14" t="inlineStr">
        <is>
          <t>CONDENSATE EXTRACTION PUMP DISCHARGE PT</t>
        </is>
      </c>
      <c r="E77" s="37" t="n">
        <v>46105</v>
      </c>
      <c r="F77" s="103" t="n">
        <v>-1</v>
      </c>
      <c r="G77" s="103" t="n">
        <v>100</v>
      </c>
      <c r="H77" s="103" t="n">
        <v>0</v>
      </c>
      <c r="I77" s="103" t="n">
        <v>35</v>
      </c>
      <c r="J77" s="4" t="inlineStr">
        <is>
          <t>Bar</t>
        </is>
      </c>
      <c r="K77" s="19" t="inlineStr">
        <is>
          <t>YOKOGAWA</t>
        </is>
      </c>
      <c r="L77" s="19" t="inlineStr">
        <is>
          <t>EJA530E</t>
        </is>
      </c>
      <c r="M77" s="30" t="inlineStr">
        <is>
          <t>91S313310</t>
        </is>
      </c>
      <c r="N77" s="2">
        <f>IF(E77="","Waiting","Calibrated")</f>
        <v/>
      </c>
      <c r="O77" s="2" t="n"/>
      <c r="P77" s="2" t="inlineStr">
        <is>
          <t>ZM06</t>
        </is>
      </c>
      <c r="Q77" s="2" t="n"/>
      <c r="R77" s="28" t="n"/>
      <c r="S77" s="28" t="n"/>
      <c r="T77" s="32" t="n"/>
    </row>
    <row r="78" ht="30" customFormat="1" customHeight="1" s="5">
      <c r="A78" s="17" t="n">
        <v>76</v>
      </c>
      <c r="B78" s="17" t="inlineStr">
        <is>
          <t>KIPP10</t>
        </is>
      </c>
      <c r="C78" s="2" t="inlineStr">
        <is>
          <t>10LCA11CP101</t>
        </is>
      </c>
      <c r="D78" s="14" t="inlineStr">
        <is>
          <t>CEP-A DISCHARGE PRESS.</t>
        </is>
      </c>
      <c r="E78" s="37" t="n"/>
      <c r="F78" s="103" t="n">
        <v>-1</v>
      </c>
      <c r="G78" s="103" t="n">
        <v>100</v>
      </c>
      <c r="H78" s="103" t="n">
        <v>0</v>
      </c>
      <c r="I78" s="103" t="n">
        <v>35</v>
      </c>
      <c r="J78" s="4" t="inlineStr">
        <is>
          <t>Bar</t>
        </is>
      </c>
      <c r="K78" s="19" t="inlineStr">
        <is>
          <t>YOKOGAWA</t>
        </is>
      </c>
      <c r="L78" s="19" t="inlineStr">
        <is>
          <t>EJA530E</t>
        </is>
      </c>
      <c r="M78" s="19" t="inlineStr">
        <is>
          <t>91S313294</t>
        </is>
      </c>
      <c r="N78" s="2">
        <f>IF(E78="","Waiting","Calibrated")</f>
        <v/>
      </c>
      <c r="O78" s="2" t="n"/>
      <c r="P78" s="2" t="inlineStr">
        <is>
          <t>ZM06</t>
        </is>
      </c>
      <c r="Q78" s="2" t="n"/>
      <c r="R78" s="28" t="n"/>
      <c r="S78" s="28" t="n"/>
      <c r="T78" s="32" t="n"/>
    </row>
    <row r="79" ht="30" customFormat="1" customHeight="1" s="5">
      <c r="A79" s="17" t="n">
        <v>77</v>
      </c>
      <c r="B79" s="17" t="inlineStr">
        <is>
          <t>KIPP10</t>
        </is>
      </c>
      <c r="C79" s="2" t="inlineStr">
        <is>
          <t>10LCA12CP101</t>
        </is>
      </c>
      <c r="D79" s="14" t="inlineStr">
        <is>
          <t>CEP-B DISCHARGE PRESS.</t>
        </is>
      </c>
      <c r="E79" s="37" t="n"/>
      <c r="F79" s="103" t="n">
        <v>-1</v>
      </c>
      <c r="G79" s="103" t="n">
        <v>100</v>
      </c>
      <c r="H79" s="103" t="n">
        <v>0</v>
      </c>
      <c r="I79" s="103" t="n">
        <v>35</v>
      </c>
      <c r="J79" s="4" t="inlineStr">
        <is>
          <t>Bar</t>
        </is>
      </c>
      <c r="K79" s="19" t="inlineStr">
        <is>
          <t>YOKOGAWA</t>
        </is>
      </c>
      <c r="L79" s="19" t="inlineStr">
        <is>
          <t>EJA530E</t>
        </is>
      </c>
      <c r="M79" s="19" t="inlineStr">
        <is>
          <t>91S313295</t>
        </is>
      </c>
      <c r="N79" s="2">
        <f>IF(E79="","Waiting","Calibrated")</f>
        <v/>
      </c>
      <c r="O79" s="2" t="n"/>
      <c r="P79" s="2" t="inlineStr">
        <is>
          <t>ZM06</t>
        </is>
      </c>
      <c r="Q79" s="2" t="n"/>
      <c r="R79" s="28" t="n"/>
      <c r="S79" s="28" t="n"/>
      <c r="T79" s="32" t="n"/>
    </row>
    <row r="80" ht="30" customFormat="1" customHeight="1" s="5">
      <c r="A80" s="17" t="n">
        <v>78</v>
      </c>
      <c r="B80" s="17" t="inlineStr">
        <is>
          <t>KIPP10</t>
        </is>
      </c>
      <c r="C80" s="2" t="inlineStr">
        <is>
          <t>10LCA13CP101</t>
        </is>
      </c>
      <c r="D80" s="14" t="inlineStr">
        <is>
          <t>CEP-C DISCHARGE PRESS.</t>
        </is>
      </c>
      <c r="E80" s="37" t="n"/>
      <c r="F80" s="103" t="n">
        <v>-1</v>
      </c>
      <c r="G80" s="103" t="n">
        <v>100</v>
      </c>
      <c r="H80" s="103" t="n">
        <v>0</v>
      </c>
      <c r="I80" s="103" t="n">
        <v>35</v>
      </c>
      <c r="J80" s="4" t="inlineStr">
        <is>
          <t>Bar</t>
        </is>
      </c>
      <c r="K80" s="19" t="inlineStr">
        <is>
          <t>YOKOGAWA</t>
        </is>
      </c>
      <c r="L80" s="19" t="inlineStr">
        <is>
          <t>EJA530E</t>
        </is>
      </c>
      <c r="M80" s="19" t="inlineStr">
        <is>
          <t>91S313296</t>
        </is>
      </c>
      <c r="N80" s="2">
        <f>IF(E80="","Waiting","Calibrated")</f>
        <v/>
      </c>
      <c r="O80" s="2" t="n"/>
      <c r="P80" s="2" t="inlineStr">
        <is>
          <t>ZM06</t>
        </is>
      </c>
      <c r="Q80" s="2" t="n"/>
      <c r="R80" s="28" t="n"/>
      <c r="S80" s="28" t="n"/>
      <c r="T80" s="32" t="n"/>
    </row>
    <row r="81" ht="30" customFormat="1" customHeight="1" s="5">
      <c r="A81" s="17" t="n">
        <v>79</v>
      </c>
      <c r="B81" s="17" t="inlineStr">
        <is>
          <t>KIPP10</t>
        </is>
      </c>
      <c r="C81" s="2" t="inlineStr">
        <is>
          <t>10LCA20CF101</t>
        </is>
      </c>
      <c r="D81" s="14" t="inlineStr">
        <is>
          <t>DEAERATOR &amp; FW STORAGE TANK INLET FT</t>
        </is>
      </c>
      <c r="E81" s="37" t="n"/>
      <c r="F81" s="103" t="n">
        <v>-10197.2</v>
      </c>
      <c r="G81" s="103" t="n">
        <v>10197.2</v>
      </c>
      <c r="H81" s="103" t="n">
        <v>0</v>
      </c>
      <c r="I81" s="103" t="n">
        <v>10000</v>
      </c>
      <c r="J81" s="4" t="inlineStr">
        <is>
          <t>mmH2O</t>
        </is>
      </c>
      <c r="K81" s="19" t="inlineStr">
        <is>
          <t>YOKOGAWA</t>
        </is>
      </c>
      <c r="L81" s="19" t="inlineStr">
        <is>
          <t>EJA110E</t>
        </is>
      </c>
      <c r="M81" s="19" t="inlineStr">
        <is>
          <t>91S313069</t>
        </is>
      </c>
      <c r="N81" s="2">
        <f>IF(E81="","Waiting","Calibrated")</f>
        <v/>
      </c>
      <c r="O81" s="2" t="n"/>
      <c r="P81" s="2" t="inlineStr">
        <is>
          <t>ZM06</t>
        </is>
      </c>
      <c r="Q81" s="2" t="n"/>
      <c r="R81" s="28" t="n"/>
      <c r="S81" s="28" t="n"/>
      <c r="T81" s="32" t="n"/>
    </row>
    <row r="82" ht="30" customFormat="1" customHeight="1" s="5">
      <c r="A82" s="17" t="n">
        <v>80</v>
      </c>
      <c r="B82" s="17" t="inlineStr">
        <is>
          <t>KIPP10</t>
        </is>
      </c>
      <c r="C82" s="2" t="inlineStr">
        <is>
          <t>10MAA10CP001</t>
        </is>
      </c>
      <c r="D82" s="14" t="inlineStr">
        <is>
          <t>P UPSTR HPT BLADING</t>
        </is>
      </c>
      <c r="E82" s="37" t="n"/>
      <c r="F82" s="103" t="n">
        <v>-1.013</v>
      </c>
      <c r="G82" s="103" t="n">
        <v>275.789</v>
      </c>
      <c r="H82" s="103" t="n">
        <v>-1</v>
      </c>
      <c r="I82" s="103" t="n">
        <v>150</v>
      </c>
      <c r="J82" s="4" t="inlineStr">
        <is>
          <t>Bar</t>
        </is>
      </c>
      <c r="K82" s="19" t="inlineStr">
        <is>
          <t>ROSEMOUNT</t>
        </is>
      </c>
      <c r="L82" s="19" t="inlineStr">
        <is>
          <t>3051 PT</t>
        </is>
      </c>
      <c r="M82" s="20" t="n">
        <v>9834864</v>
      </c>
      <c r="N82" s="2">
        <f>IF(E82="","Waiting","Calibrated")</f>
        <v/>
      </c>
      <c r="O82" s="2" t="n"/>
      <c r="P82" s="2" t="inlineStr">
        <is>
          <t>ZM06</t>
        </is>
      </c>
      <c r="Q82" s="2" t="n"/>
      <c r="R82" s="28" t="n"/>
      <c r="S82" s="28" t="n"/>
      <c r="T82" s="32" t="n"/>
    </row>
    <row r="83" ht="30" customFormat="1" customHeight="1" s="5">
      <c r="A83" s="17" t="n">
        <v>81</v>
      </c>
      <c r="B83" s="17" t="inlineStr">
        <is>
          <t>KIPP10</t>
        </is>
      </c>
      <c r="C83" s="2" t="inlineStr">
        <is>
          <t>10MAB10CP001</t>
        </is>
      </c>
      <c r="D83" s="14" t="inlineStr">
        <is>
          <t>P UPSTR IPT BLADING</t>
        </is>
      </c>
      <c r="E83" s="37" t="n"/>
      <c r="F83" s="103" t="n">
        <v>-137.89</v>
      </c>
      <c r="G83" s="103" t="n">
        <v>137.89</v>
      </c>
      <c r="H83" s="103" t="n">
        <v>-1</v>
      </c>
      <c r="I83" s="103" t="n">
        <v>40</v>
      </c>
      <c r="J83" s="4" t="inlineStr">
        <is>
          <t>Bar</t>
        </is>
      </c>
      <c r="K83" s="19" t="inlineStr">
        <is>
          <t>ROSEMOUNT</t>
        </is>
      </c>
      <c r="L83" s="19" t="inlineStr">
        <is>
          <t>3051 PT</t>
        </is>
      </c>
      <c r="M83" s="20" t="n">
        <v>9834862</v>
      </c>
      <c r="N83" s="2">
        <f>IF(E83="","Waiting","Calibrated")</f>
        <v/>
      </c>
      <c r="O83" s="2" t="n"/>
      <c r="P83" s="2" t="inlineStr">
        <is>
          <t>ZM06</t>
        </is>
      </c>
      <c r="Q83" s="2" t="n"/>
      <c r="R83" s="28" t="n"/>
      <c r="S83" s="28" t="n"/>
      <c r="T83" s="32" t="n"/>
    </row>
    <row r="84" ht="30" customFormat="1" customHeight="1" s="5">
      <c r="A84" s="17" t="n">
        <v>82</v>
      </c>
      <c r="B84" s="17" t="inlineStr">
        <is>
          <t>KIPP10</t>
        </is>
      </c>
      <c r="C84" s="2" t="inlineStr">
        <is>
          <t>10MAB10CP002</t>
        </is>
      </c>
      <c r="D84" s="14" t="inlineStr">
        <is>
          <t>P UPSTR IPT BLADING</t>
        </is>
      </c>
      <c r="E84" s="37" t="n"/>
      <c r="F84" s="103" t="n">
        <v>-137.89</v>
      </c>
      <c r="G84" s="103" t="n">
        <v>137.89</v>
      </c>
      <c r="H84" s="103" t="n">
        <v>-1</v>
      </c>
      <c r="I84" s="103" t="n">
        <v>40</v>
      </c>
      <c r="J84" s="4" t="inlineStr">
        <is>
          <t>Bar</t>
        </is>
      </c>
      <c r="K84" s="19" t="inlineStr">
        <is>
          <t>ROSEMOUNT</t>
        </is>
      </c>
      <c r="L84" s="19" t="inlineStr">
        <is>
          <t>3051 PT</t>
        </is>
      </c>
      <c r="M84" s="20" t="n">
        <v>9834863</v>
      </c>
      <c r="N84" s="2">
        <f>IF(E84="","Waiting","Calibrated")</f>
        <v/>
      </c>
      <c r="O84" s="2" t="n"/>
      <c r="P84" s="2" t="inlineStr">
        <is>
          <t>ZM06</t>
        </is>
      </c>
      <c r="Q84" s="2" t="n"/>
      <c r="R84" s="28" t="n"/>
      <c r="S84" s="28" t="n"/>
      <c r="T84" s="32" t="n"/>
    </row>
    <row r="85" ht="30" customFormat="1" customHeight="1" s="5">
      <c r="A85" s="17" t="n">
        <v>83</v>
      </c>
      <c r="B85" s="17" t="inlineStr">
        <is>
          <t>KIPP10</t>
        </is>
      </c>
      <c r="C85" s="2" t="inlineStr">
        <is>
          <t>10MAC01CP021</t>
        </is>
      </c>
      <c r="D85" s="14" t="inlineStr">
        <is>
          <t>LP TUR.UPER STR.CROSS PIPE PRESSURE</t>
        </is>
      </c>
      <c r="E85" s="37" t="n"/>
      <c r="F85" s="103" t="n">
        <v>-20.684</v>
      </c>
      <c r="G85" s="103" t="n">
        <v>20.684</v>
      </c>
      <c r="H85" s="103" t="n">
        <v>-1</v>
      </c>
      <c r="I85" s="103" t="n">
        <v>8</v>
      </c>
      <c r="J85" s="4" t="inlineStr">
        <is>
          <t>Bar</t>
        </is>
      </c>
      <c r="K85" s="19" t="inlineStr">
        <is>
          <t>ROSEMOUNT</t>
        </is>
      </c>
      <c r="L85" s="19" t="inlineStr">
        <is>
          <t>3051 PT</t>
        </is>
      </c>
      <c r="M85" s="20" t="n">
        <v>9834860</v>
      </c>
      <c r="N85" s="2">
        <f>IF(E85="","Waiting","Calibrated")</f>
        <v/>
      </c>
      <c r="O85" s="2" t="n"/>
      <c r="P85" s="2" t="inlineStr">
        <is>
          <t>ZM06</t>
        </is>
      </c>
      <c r="Q85" s="2" t="n"/>
      <c r="R85" s="28" t="n"/>
      <c r="S85" s="28" t="n"/>
      <c r="T85" s="32" t="n"/>
    </row>
    <row r="86" ht="30" customFormat="1" customHeight="1" s="5">
      <c r="A86" s="17" t="n">
        <v>84</v>
      </c>
      <c r="B86" s="17" t="inlineStr">
        <is>
          <t>KIPP10</t>
        </is>
      </c>
      <c r="C86" s="2" t="inlineStr">
        <is>
          <t>10MAC01CP022</t>
        </is>
      </c>
      <c r="D86" s="14" t="inlineStr">
        <is>
          <t>LP TUR.UPER STR.CROSS PIPE PRESSURE</t>
        </is>
      </c>
      <c r="E86" s="37" t="n"/>
      <c r="F86" s="103" t="n">
        <v>-20.684</v>
      </c>
      <c r="G86" s="103" t="n">
        <v>20.684</v>
      </c>
      <c r="H86" s="103" t="n">
        <v>-1</v>
      </c>
      <c r="I86" s="103" t="n">
        <v>8</v>
      </c>
      <c r="J86" s="4" t="inlineStr">
        <is>
          <t>Bar</t>
        </is>
      </c>
      <c r="K86" s="19" t="inlineStr">
        <is>
          <t>ROSEMOUNT</t>
        </is>
      </c>
      <c r="L86" s="19" t="inlineStr">
        <is>
          <t>3051 PT</t>
        </is>
      </c>
      <c r="M86" s="20" t="n">
        <v>9834861</v>
      </c>
      <c r="N86" s="2">
        <f>IF(E86="","Waiting","Calibrated")</f>
        <v/>
      </c>
      <c r="O86" s="2" t="n"/>
      <c r="P86" s="2" t="inlineStr">
        <is>
          <t>ZM06</t>
        </is>
      </c>
      <c r="Q86" s="2" t="n"/>
      <c r="R86" s="28" t="n"/>
      <c r="S86" s="28" t="n"/>
      <c r="T86" s="32" t="n"/>
    </row>
    <row r="87" ht="30" customFormat="1" customHeight="1" s="5">
      <c r="A87" s="17" t="n">
        <v>85</v>
      </c>
      <c r="B87" s="17" t="inlineStr">
        <is>
          <t>KIPP10</t>
        </is>
      </c>
      <c r="C87" s="2" t="inlineStr">
        <is>
          <t>10MAC10CP031</t>
        </is>
      </c>
      <c r="D87" s="14" t="inlineStr">
        <is>
          <t>LP TURBINE EXHAUST PRESSURE</t>
        </is>
      </c>
      <c r="E87" s="37" t="n"/>
      <c r="F87" s="103" t="n">
        <v>0</v>
      </c>
      <c r="G87" s="103" t="n">
        <v>2068.4</v>
      </c>
      <c r="H87" s="103" t="n">
        <v>0</v>
      </c>
      <c r="I87" s="103" t="n">
        <v>1200</v>
      </c>
      <c r="J87" s="4" t="inlineStr">
        <is>
          <t>mBar</t>
        </is>
      </c>
      <c r="K87" s="19" t="inlineStr">
        <is>
          <t>ROSEMOUNT</t>
        </is>
      </c>
      <c r="L87" s="19" t="inlineStr">
        <is>
          <t>3051 PT</t>
        </is>
      </c>
      <c r="M87" s="20" t="n">
        <v>9861934</v>
      </c>
      <c r="N87" s="2">
        <f>IF(E87="","Waiting","Calibrated")</f>
        <v/>
      </c>
      <c r="O87" s="2" t="n"/>
      <c r="P87" s="2" t="inlineStr">
        <is>
          <t>ZM06</t>
        </is>
      </c>
      <c r="Q87" s="2" t="n"/>
      <c r="R87" s="28" t="n"/>
      <c r="S87" s="28" t="n"/>
      <c r="T87" s="32" t="n"/>
    </row>
    <row r="88" ht="30" customFormat="1" customHeight="1" s="5">
      <c r="A88" s="17" t="n">
        <v>86</v>
      </c>
      <c r="B88" s="17" t="inlineStr">
        <is>
          <t>KIPP10</t>
        </is>
      </c>
      <c r="C88" s="2" t="inlineStr">
        <is>
          <t>10MAC10CP032</t>
        </is>
      </c>
      <c r="D88" s="14" t="inlineStr">
        <is>
          <t>LP TURBINE EXHAUST PRESSURE</t>
        </is>
      </c>
      <c r="E88" s="37" t="n"/>
      <c r="F88" s="103" t="n">
        <v>0</v>
      </c>
      <c r="G88" s="103" t="n">
        <v>2068.4</v>
      </c>
      <c r="H88" s="103" t="n">
        <v>0</v>
      </c>
      <c r="I88" s="103" t="n">
        <v>1200</v>
      </c>
      <c r="J88" s="4" t="inlineStr">
        <is>
          <t>mBar</t>
        </is>
      </c>
      <c r="K88" s="19" t="inlineStr">
        <is>
          <t>ROSEMOUNT</t>
        </is>
      </c>
      <c r="L88" s="19" t="inlineStr">
        <is>
          <t>3051 PT</t>
        </is>
      </c>
      <c r="M88" s="20" t="n">
        <v>9861935</v>
      </c>
      <c r="N88" s="2">
        <f>IF(E88="","Waiting","Calibrated")</f>
        <v/>
      </c>
      <c r="O88" s="2" t="n"/>
      <c r="P88" s="2" t="inlineStr">
        <is>
          <t>ZM06</t>
        </is>
      </c>
      <c r="Q88" s="2" t="n"/>
      <c r="R88" s="28" t="n"/>
      <c r="S88" s="28" t="n"/>
      <c r="T88" s="32" t="n"/>
    </row>
    <row r="89" ht="30" customFormat="1" customHeight="1" s="5">
      <c r="A89" s="17" t="n">
        <v>87</v>
      </c>
      <c r="B89" s="17" t="inlineStr">
        <is>
          <t>KIPP10</t>
        </is>
      </c>
      <c r="C89" s="2" t="inlineStr">
        <is>
          <t>10MAC10CP033</t>
        </is>
      </c>
      <c r="D89" s="14" t="inlineStr">
        <is>
          <t>LP TURBINE EXHAUST PRESSURE</t>
        </is>
      </c>
      <c r="E89" s="37" t="n"/>
      <c r="F89" s="103" t="n">
        <v>0</v>
      </c>
      <c r="G89" s="103" t="n">
        <v>2068.4</v>
      </c>
      <c r="H89" s="103" t="n">
        <v>0</v>
      </c>
      <c r="I89" s="103" t="n">
        <v>1200</v>
      </c>
      <c r="J89" s="4" t="inlineStr">
        <is>
          <t>mBar</t>
        </is>
      </c>
      <c r="K89" s="19" t="inlineStr">
        <is>
          <t>ROSEMOUNT</t>
        </is>
      </c>
      <c r="L89" s="19" t="inlineStr">
        <is>
          <t>3051 PT</t>
        </is>
      </c>
      <c r="M89" s="20" t="n">
        <v>9861936</v>
      </c>
      <c r="N89" s="2">
        <f>IF(E89="","Waiting","Calibrated")</f>
        <v/>
      </c>
      <c r="O89" s="2" t="n"/>
      <c r="P89" s="2" t="inlineStr">
        <is>
          <t>ZM06</t>
        </is>
      </c>
      <c r="Q89" s="2" t="n"/>
      <c r="R89" s="28" t="n"/>
      <c r="S89" s="28" t="n"/>
      <c r="T89" s="32" t="n"/>
    </row>
    <row r="90" ht="30" customFormat="1" customHeight="1" s="5">
      <c r="A90" s="17" t="n">
        <v>88</v>
      </c>
      <c r="B90" s="17" t="inlineStr">
        <is>
          <t>KIPP10</t>
        </is>
      </c>
      <c r="C90" s="2" t="inlineStr">
        <is>
          <t>10MAV40CP003</t>
        </is>
      </c>
      <c r="D90" s="14" t="inlineStr">
        <is>
          <t>P LOIL HEADER</t>
        </is>
      </c>
      <c r="E90" s="37" t="n"/>
      <c r="F90" s="103" t="n">
        <v>-1.0132</v>
      </c>
      <c r="G90" s="103" t="n">
        <v>10.3421</v>
      </c>
      <c r="H90" s="103" t="n">
        <v>0</v>
      </c>
      <c r="I90" s="103" t="n">
        <v>6</v>
      </c>
      <c r="J90" s="4" t="inlineStr">
        <is>
          <t>Bar</t>
        </is>
      </c>
      <c r="K90" s="19" t="inlineStr">
        <is>
          <t>ROSEMOUNT</t>
        </is>
      </c>
      <c r="L90" s="19" t="inlineStr">
        <is>
          <t>3051 PT</t>
        </is>
      </c>
      <c r="M90" s="20" t="n">
        <v>9843509</v>
      </c>
      <c r="N90" s="2">
        <f>IF(E90="","Waiting","Calibrated")</f>
        <v/>
      </c>
      <c r="O90" s="2" t="n"/>
      <c r="P90" s="2" t="inlineStr">
        <is>
          <t>ZM06</t>
        </is>
      </c>
      <c r="Q90" s="2" t="n"/>
      <c r="R90" s="28" t="n"/>
      <c r="S90" s="28" t="n"/>
      <c r="T90" s="32" t="n"/>
    </row>
    <row r="91" ht="30" customFormat="1" customHeight="1" s="5">
      <c r="A91" s="17" t="n">
        <v>89</v>
      </c>
      <c r="B91" s="17" t="inlineStr">
        <is>
          <t>KIPP10</t>
        </is>
      </c>
      <c r="C91" s="2" t="inlineStr">
        <is>
          <t>10MAV40CP004</t>
        </is>
      </c>
      <c r="D91" s="14" t="inlineStr">
        <is>
          <t>P LOIL HEADER</t>
        </is>
      </c>
      <c r="E91" s="37" t="n"/>
      <c r="F91" s="103" t="n">
        <v>-1.0132</v>
      </c>
      <c r="G91" s="103" t="n">
        <v>10.3421</v>
      </c>
      <c r="H91" s="103" t="n">
        <v>0</v>
      </c>
      <c r="I91" s="103" t="n">
        <v>6</v>
      </c>
      <c r="J91" s="4" t="inlineStr">
        <is>
          <t>Bar</t>
        </is>
      </c>
      <c r="K91" s="19" t="inlineStr">
        <is>
          <t>ROSEMOUNT</t>
        </is>
      </c>
      <c r="L91" s="19" t="inlineStr">
        <is>
          <t>3051 PT</t>
        </is>
      </c>
      <c r="M91" s="20" t="n">
        <v>9843508</v>
      </c>
      <c r="N91" s="2">
        <f>IF(E91="","Waiting","Calibrated")</f>
        <v/>
      </c>
      <c r="O91" s="2" t="n"/>
      <c r="P91" s="2" t="inlineStr">
        <is>
          <t>ZM06</t>
        </is>
      </c>
      <c r="Q91" s="2" t="n"/>
      <c r="R91" s="28" t="n"/>
      <c r="S91" s="28" t="n"/>
      <c r="T91" s="32" t="n"/>
    </row>
    <row r="92" ht="30" customFormat="1" customHeight="1" s="5">
      <c r="A92" s="17" t="n">
        <v>90</v>
      </c>
      <c r="B92" s="17" t="inlineStr">
        <is>
          <t>KIPP10</t>
        </is>
      </c>
      <c r="C92" s="2" t="inlineStr">
        <is>
          <t>10MAV40CP005</t>
        </is>
      </c>
      <c r="D92" s="14" t="inlineStr">
        <is>
          <t>P LOIL HEADER</t>
        </is>
      </c>
      <c r="E92" s="37" t="n"/>
      <c r="F92" s="103" t="n">
        <v>-1.0132</v>
      </c>
      <c r="G92" s="103" t="n">
        <v>10.3421</v>
      </c>
      <c r="H92" s="103" t="n">
        <v>0</v>
      </c>
      <c r="I92" s="103" t="n">
        <v>6</v>
      </c>
      <c r="J92" s="4" t="inlineStr">
        <is>
          <t>Bar</t>
        </is>
      </c>
      <c r="K92" s="19" t="inlineStr">
        <is>
          <t>ROSEMOUNT</t>
        </is>
      </c>
      <c r="L92" s="19" t="inlineStr">
        <is>
          <t>3051 PT</t>
        </is>
      </c>
      <c r="M92" s="20" t="n">
        <v>9843510</v>
      </c>
      <c r="N92" s="2">
        <f>IF(E92="","Waiting","Calibrated")</f>
        <v/>
      </c>
      <c r="O92" s="2" t="n"/>
      <c r="P92" s="2" t="inlineStr">
        <is>
          <t>ZM06</t>
        </is>
      </c>
      <c r="Q92" s="2" t="n"/>
      <c r="R92" s="28" t="n"/>
      <c r="S92" s="28" t="n"/>
      <c r="T92" s="32" t="n"/>
    </row>
    <row r="93" ht="30" customFormat="1" customHeight="1" s="5">
      <c r="A93" s="17" t="n">
        <v>91</v>
      </c>
      <c r="B93" s="17" t="inlineStr">
        <is>
          <t>KIPP10</t>
        </is>
      </c>
      <c r="C93" s="2" t="inlineStr">
        <is>
          <t>10MAW02CP001</t>
        </is>
      </c>
      <c r="D93" s="14" t="inlineStr">
        <is>
          <t>GLAND STEAM LINE PT</t>
        </is>
      </c>
      <c r="E93" s="37" t="n"/>
      <c r="F93" s="103" t="n">
        <v>-1</v>
      </c>
      <c r="G93" s="103" t="n">
        <v>100</v>
      </c>
      <c r="H93" s="103" t="n">
        <v>-1</v>
      </c>
      <c r="I93" s="103" t="n">
        <v>50</v>
      </c>
      <c r="J93" s="4" t="inlineStr">
        <is>
          <t>Bar</t>
        </is>
      </c>
      <c r="K93" s="19" t="inlineStr">
        <is>
          <t>YOKOGAWA</t>
        </is>
      </c>
      <c r="L93" s="19" t="inlineStr">
        <is>
          <t>EJA530E</t>
        </is>
      </c>
      <c r="M93" s="19" t="inlineStr">
        <is>
          <t>91S313309</t>
        </is>
      </c>
      <c r="N93" s="2">
        <f>IF(E93="","Waiting","Calibrated")</f>
        <v/>
      </c>
      <c r="O93" s="2" t="n"/>
      <c r="P93" s="2" t="inlineStr">
        <is>
          <t>ZM06</t>
        </is>
      </c>
      <c r="Q93" s="2" t="n"/>
      <c r="R93" s="28" t="n"/>
      <c r="S93" s="28" t="n"/>
      <c r="T93" s="32" t="n"/>
    </row>
    <row r="94" ht="30" customFormat="1" customHeight="1" s="5">
      <c r="A94" s="17" t="n">
        <v>92</v>
      </c>
      <c r="B94" s="17" t="inlineStr">
        <is>
          <t>KIPP10</t>
        </is>
      </c>
      <c r="C94" s="2" t="inlineStr">
        <is>
          <t>10MAW15CP001</t>
        </is>
      </c>
      <c r="D94" s="14" t="inlineStr">
        <is>
          <t>GLAND STEAM SEALING SYSTEM PRESSURE</t>
        </is>
      </c>
      <c r="E94" s="37" t="n"/>
      <c r="F94" s="103" t="n">
        <v>-2486.4</v>
      </c>
      <c r="G94" s="103" t="n">
        <v>2486.4</v>
      </c>
      <c r="H94" s="103" t="n">
        <v>-150</v>
      </c>
      <c r="I94" s="103" t="n">
        <v>350</v>
      </c>
      <c r="J94" s="4" t="inlineStr">
        <is>
          <t>mBar</t>
        </is>
      </c>
      <c r="K94" s="19" t="inlineStr">
        <is>
          <t>ROSEMOUNT</t>
        </is>
      </c>
      <c r="L94" s="19" t="inlineStr">
        <is>
          <t>3051 PT</t>
        </is>
      </c>
      <c r="M94" s="20" t="n">
        <v>9834859</v>
      </c>
      <c r="N94" s="2">
        <f>IF(E94="","Waiting","Calibrated")</f>
        <v/>
      </c>
      <c r="O94" s="2" t="n"/>
      <c r="P94" s="2" t="inlineStr">
        <is>
          <t>ZM06</t>
        </is>
      </c>
      <c r="Q94" s="2" t="n"/>
      <c r="R94" s="28" t="n"/>
      <c r="S94" s="28" t="n"/>
      <c r="T94" s="32" t="n"/>
    </row>
    <row r="95" ht="30" customFormat="1" customHeight="1" s="5">
      <c r="A95" s="17" t="n">
        <v>93</v>
      </c>
      <c r="B95" s="17" t="inlineStr">
        <is>
          <t>KIPP10</t>
        </is>
      </c>
      <c r="C95" s="2" t="inlineStr">
        <is>
          <t>10MAX11CP031</t>
        </is>
      </c>
      <c r="D95" s="14" t="inlineStr">
        <is>
          <t>P HYDR HEADER</t>
        </is>
      </c>
      <c r="E95" s="37" t="n"/>
      <c r="F95" s="103" t="n">
        <v>-1.013</v>
      </c>
      <c r="G95" s="103" t="n">
        <v>275.789</v>
      </c>
      <c r="H95" s="103" t="n">
        <v>0</v>
      </c>
      <c r="I95" s="103" t="n">
        <v>52</v>
      </c>
      <c r="J95" s="4" t="inlineStr">
        <is>
          <t>Bar</t>
        </is>
      </c>
      <c r="K95" s="19" t="inlineStr">
        <is>
          <t>ROSEMOUNT</t>
        </is>
      </c>
      <c r="L95" s="19" t="inlineStr">
        <is>
          <t>3051 PT</t>
        </is>
      </c>
      <c r="M95" s="20" t="n">
        <v>9843512</v>
      </c>
      <c r="N95" s="2">
        <f>IF(E95="","Waiting","Calibrated")</f>
        <v/>
      </c>
      <c r="O95" s="2" t="n"/>
      <c r="P95" s="2" t="inlineStr">
        <is>
          <t>ZM06</t>
        </is>
      </c>
      <c r="Q95" s="2" t="n"/>
      <c r="R95" s="28" t="n"/>
      <c r="S95" s="28" t="n"/>
      <c r="T95" s="32" t="n"/>
    </row>
    <row r="96" ht="30" customFormat="1" customHeight="1" s="5">
      <c r="A96" s="17" t="n">
        <v>94</v>
      </c>
      <c r="B96" s="17" t="inlineStr">
        <is>
          <t>KIPP10</t>
        </is>
      </c>
      <c r="C96" s="2" t="inlineStr">
        <is>
          <t>10MAX44CP001</t>
        </is>
      </c>
      <c r="D96" s="14" t="inlineStr">
        <is>
          <t>P SAFETY SYSTEM</t>
        </is>
      </c>
      <c r="E96" s="37" t="n"/>
      <c r="F96" s="103" t="n">
        <v>-1.013</v>
      </c>
      <c r="G96" s="103" t="n">
        <v>275.789</v>
      </c>
      <c r="H96" s="103" t="n">
        <v>0</v>
      </c>
      <c r="I96" s="103" t="n">
        <v>52</v>
      </c>
      <c r="J96" s="4" t="inlineStr">
        <is>
          <t>Bar</t>
        </is>
      </c>
      <c r="K96" s="19" t="inlineStr">
        <is>
          <t>ROSEMOUNT</t>
        </is>
      </c>
      <c r="L96" s="19" t="inlineStr">
        <is>
          <t>3051 PT</t>
        </is>
      </c>
      <c r="M96" s="20" t="n">
        <v>9843513</v>
      </c>
      <c r="N96" s="2">
        <f>IF(E96="","Waiting","Calibrated")</f>
        <v/>
      </c>
      <c r="O96" s="2" t="n"/>
      <c r="P96" s="2" t="inlineStr">
        <is>
          <t>ZM06</t>
        </is>
      </c>
      <c r="Q96" s="2" t="n"/>
      <c r="R96" s="28" t="n"/>
      <c r="S96" s="28" t="n"/>
      <c r="T96" s="32" t="n"/>
    </row>
    <row r="97" ht="30" customFormat="1" customHeight="1" s="5">
      <c r="A97" s="17" t="n">
        <v>95</v>
      </c>
      <c r="B97" s="17" t="inlineStr">
        <is>
          <t>KIPP10</t>
        </is>
      </c>
      <c r="C97" s="2" t="inlineStr">
        <is>
          <t>10MAX44CP002</t>
        </is>
      </c>
      <c r="D97" s="14" t="inlineStr">
        <is>
          <t>P SAFETY SYSTEM</t>
        </is>
      </c>
      <c r="E97" s="37" t="n"/>
      <c r="F97" s="103" t="n">
        <v>-1.013</v>
      </c>
      <c r="G97" s="103" t="n">
        <v>275.789</v>
      </c>
      <c r="H97" s="103" t="n">
        <v>0</v>
      </c>
      <c r="I97" s="103" t="n">
        <v>52</v>
      </c>
      <c r="J97" s="4" t="inlineStr">
        <is>
          <t>Bar</t>
        </is>
      </c>
      <c r="K97" s="19" t="inlineStr">
        <is>
          <t>ROSEMOUNT</t>
        </is>
      </c>
      <c r="L97" s="19" t="inlineStr">
        <is>
          <t>3051 PT</t>
        </is>
      </c>
      <c r="M97" s="20" t="n">
        <v>9843511</v>
      </c>
      <c r="N97" s="2">
        <f>IF(E97="","Waiting","Calibrated")</f>
        <v/>
      </c>
      <c r="O97" s="2" t="n"/>
      <c r="P97" s="2" t="inlineStr">
        <is>
          <t>ZM06</t>
        </is>
      </c>
      <c r="Q97" s="2" t="n"/>
      <c r="R97" s="28" t="n"/>
      <c r="S97" s="28" t="n"/>
      <c r="T97" s="32" t="n"/>
    </row>
    <row r="98" ht="30" customFormat="1" customHeight="1" s="5">
      <c r="A98" s="17" t="n">
        <v>96</v>
      </c>
      <c r="B98" s="17" t="inlineStr">
        <is>
          <t>KIPP10</t>
        </is>
      </c>
      <c r="C98" s="2" t="inlineStr">
        <is>
          <t>10MAX44CP003</t>
        </is>
      </c>
      <c r="D98" s="14" t="inlineStr">
        <is>
          <t>P SAFETY SYSTEM</t>
        </is>
      </c>
      <c r="E98" s="37" t="n"/>
      <c r="F98" s="103" t="n">
        <v>-1.013</v>
      </c>
      <c r="G98" s="103" t="n">
        <v>275.789</v>
      </c>
      <c r="H98" s="103" t="n">
        <v>0</v>
      </c>
      <c r="I98" s="103" t="n">
        <v>52</v>
      </c>
      <c r="J98" s="4" t="inlineStr">
        <is>
          <t>Bar</t>
        </is>
      </c>
      <c r="K98" s="19" t="inlineStr">
        <is>
          <t>ROSEMOUNT</t>
        </is>
      </c>
      <c r="L98" s="19" t="inlineStr">
        <is>
          <t>3051 PT</t>
        </is>
      </c>
      <c r="M98" s="20" t="n">
        <v>9843514</v>
      </c>
      <c r="N98" s="2">
        <f>IF(E98="","Waiting","Calibrated")</f>
        <v/>
      </c>
      <c r="O98" s="2" t="n"/>
      <c r="P98" s="2" t="inlineStr">
        <is>
          <t>ZM06</t>
        </is>
      </c>
      <c r="Q98" s="2" t="n"/>
      <c r="R98" s="28" t="n"/>
      <c r="S98" s="28" t="n"/>
      <c r="T98" s="32" t="n"/>
    </row>
    <row r="99" ht="30" customFormat="1" customHeight="1" s="5">
      <c r="A99" s="17" t="n">
        <v>97</v>
      </c>
      <c r="B99" s="17" t="inlineStr">
        <is>
          <t>KIPP10</t>
        </is>
      </c>
      <c r="C99" s="2" t="inlineStr">
        <is>
          <t>10MKA13CP111</t>
        </is>
      </c>
      <c r="D99" s="14" t="inlineStr">
        <is>
          <t>GEN.AIR BLOWER FILTER PRESSURE</t>
        </is>
      </c>
      <c r="E99" s="37" t="n"/>
      <c r="F99" s="103" t="n">
        <v>-1013.2</v>
      </c>
      <c r="G99" s="103" t="n">
        <v>2068.4</v>
      </c>
      <c r="H99" s="103" t="n">
        <v>-50</v>
      </c>
      <c r="I99" s="103" t="n">
        <v>0</v>
      </c>
      <c r="J99" s="4" t="inlineStr">
        <is>
          <t>mBar</t>
        </is>
      </c>
      <c r="K99" s="19" t="inlineStr">
        <is>
          <t>ROSEMOUNT</t>
        </is>
      </c>
      <c r="L99" s="19" t="inlineStr">
        <is>
          <t>2088 PT</t>
        </is>
      </c>
      <c r="M99" s="20" t="n">
        <v>9917083</v>
      </c>
      <c r="N99" s="2">
        <f>IF(E99="","Waiting","Calibrated")</f>
        <v/>
      </c>
      <c r="O99" s="2" t="n"/>
      <c r="P99" s="2" t="inlineStr">
        <is>
          <t>ZM06</t>
        </is>
      </c>
      <c r="Q99" s="2" t="n"/>
      <c r="R99" s="28" t="n"/>
      <c r="S99" s="28" t="n"/>
      <c r="T99" s="32" t="n"/>
    </row>
    <row r="100" ht="30" customFormat="1" customHeight="1" s="5">
      <c r="A100" s="17" t="n">
        <v>98</v>
      </c>
      <c r="B100" s="17" t="inlineStr">
        <is>
          <t>KIPP10</t>
        </is>
      </c>
      <c r="C100" s="2" t="inlineStr">
        <is>
          <t>10MKA13CP112</t>
        </is>
      </c>
      <c r="D100" s="14" t="inlineStr">
        <is>
          <t>GEN.AIR BLOWER AFTER FAN PRESSURE</t>
        </is>
      </c>
      <c r="E100" s="37" t="n"/>
      <c r="F100" s="103" t="n">
        <v>-1013.2</v>
      </c>
      <c r="G100" s="103" t="n">
        <v>2068.4</v>
      </c>
      <c r="H100" s="103" t="n">
        <v>0</v>
      </c>
      <c r="I100" s="103" t="n">
        <v>400</v>
      </c>
      <c r="J100" s="4" t="inlineStr">
        <is>
          <t>mBar</t>
        </is>
      </c>
      <c r="K100" s="19" t="inlineStr">
        <is>
          <t>ROSEMOUNT</t>
        </is>
      </c>
      <c r="L100" s="19" t="inlineStr">
        <is>
          <t>2088 PT</t>
        </is>
      </c>
      <c r="M100" s="20" t="n">
        <v>9917081</v>
      </c>
      <c r="N100" s="2">
        <f>IF(E100="","Waiting","Calibrated")</f>
        <v/>
      </c>
      <c r="O100" s="2" t="n"/>
      <c r="P100" s="2" t="inlineStr">
        <is>
          <t>ZM06</t>
        </is>
      </c>
      <c r="Q100" s="2" t="n"/>
      <c r="R100" s="28" t="n"/>
      <c r="S100" s="28" t="n"/>
      <c r="T100" s="32" t="n"/>
    </row>
    <row r="101" ht="30" customFormat="1" customHeight="1" s="5">
      <c r="A101" s="17" t="n">
        <v>99</v>
      </c>
      <c r="B101" s="17" t="inlineStr">
        <is>
          <t>KIPP10</t>
        </is>
      </c>
      <c r="C101" s="2" t="inlineStr">
        <is>
          <t>10MKA13CP113</t>
        </is>
      </c>
      <c r="D101" s="14" t="inlineStr">
        <is>
          <t>GEN.AIR BLOWER AFTER FAN PRESSURE</t>
        </is>
      </c>
      <c r="E101" s="37" t="n"/>
      <c r="F101" s="103" t="n">
        <v>-1013.2</v>
      </c>
      <c r="G101" s="103" t="n">
        <v>2068.4</v>
      </c>
      <c r="H101" s="103" t="n">
        <v>0</v>
      </c>
      <c r="I101" s="103" t="n">
        <v>400</v>
      </c>
      <c r="J101" s="4" t="inlineStr">
        <is>
          <t>mBar</t>
        </is>
      </c>
      <c r="K101" s="19" t="inlineStr">
        <is>
          <t>ROSEMOUNT</t>
        </is>
      </c>
      <c r="L101" s="19" t="inlineStr">
        <is>
          <t>2088 PT</t>
        </is>
      </c>
      <c r="M101" s="20" t="n">
        <v>9917082</v>
      </c>
      <c r="N101" s="2">
        <f>IF(E101="","Waiting","Calibrated")</f>
        <v/>
      </c>
      <c r="O101" s="2" t="n"/>
      <c r="P101" s="2" t="inlineStr">
        <is>
          <t>ZM06</t>
        </is>
      </c>
      <c r="Q101" s="2" t="n"/>
      <c r="R101" s="28" t="n"/>
      <c r="S101" s="28" t="n"/>
      <c r="T101" s="32" t="n"/>
    </row>
    <row r="102" ht="30" customFormat="1" customHeight="1" s="5">
      <c r="A102" s="17" t="n">
        <v>100</v>
      </c>
      <c r="B102" s="17" t="inlineStr">
        <is>
          <t>KIPP11</t>
        </is>
      </c>
      <c r="C102" s="2" t="inlineStr">
        <is>
          <t>11EKG40CP101</t>
        </is>
      </c>
      <c r="D102" s="14" t="inlineStr">
        <is>
          <t>FG PERFORMANCE HEATER SKID OUTLET PRESS</t>
        </is>
      </c>
      <c r="E102" s="37" t="n"/>
      <c r="F102" s="103" t="n">
        <v>-1</v>
      </c>
      <c r="G102" s="103" t="n">
        <v>100</v>
      </c>
      <c r="H102" s="103" t="n">
        <v>0</v>
      </c>
      <c r="I102" s="103" t="n">
        <v>61</v>
      </c>
      <c r="J102" s="4" t="inlineStr">
        <is>
          <t>Bar</t>
        </is>
      </c>
      <c r="K102" s="33" t="inlineStr">
        <is>
          <t>YOKOGAWA</t>
        </is>
      </c>
      <c r="L102" s="33" t="inlineStr">
        <is>
          <t>EJA530E</t>
        </is>
      </c>
      <c r="M102" s="19" t="inlineStr">
        <is>
          <t>91S313313</t>
        </is>
      </c>
      <c r="N102" s="2">
        <f>IF(E102="","Waiting","Calibrated")</f>
        <v/>
      </c>
      <c r="O102" s="2" t="n"/>
      <c r="P102" s="2" t="inlineStr">
        <is>
          <t>ZM06</t>
        </is>
      </c>
      <c r="Q102" s="2" t="n"/>
      <c r="R102" s="28" t="n"/>
      <c r="S102" s="28" t="n"/>
      <c r="T102" s="32" t="n"/>
    </row>
    <row r="103" ht="30" customFormat="1" customHeight="1" s="5">
      <c r="A103" s="17" t="n">
        <v>101</v>
      </c>
      <c r="B103" s="17" t="inlineStr">
        <is>
          <t>KIPP11</t>
        </is>
      </c>
      <c r="C103" s="2" t="inlineStr">
        <is>
          <t>11HAC22CF002</t>
        </is>
      </c>
      <c r="D103" s="14" t="inlineStr">
        <is>
          <t>LP FW FT 1</t>
        </is>
      </c>
      <c r="E103" s="37" t="n">
        <v>46113</v>
      </c>
      <c r="F103" s="103" t="n">
        <v>-621.6</v>
      </c>
      <c r="G103" s="103" t="n">
        <v>621.6</v>
      </c>
      <c r="H103" s="103" t="n">
        <v>0</v>
      </c>
      <c r="I103" s="103" t="n">
        <v>316</v>
      </c>
      <c r="J103" s="4" t="inlineStr">
        <is>
          <t>mBar</t>
        </is>
      </c>
      <c r="K103" s="19" t="inlineStr">
        <is>
          <t>ROSEMOUNT</t>
        </is>
      </c>
      <c r="L103" s="19" t="inlineStr">
        <is>
          <t>2051 PT</t>
        </is>
      </c>
      <c r="M103" s="20" t="n">
        <v>214472</v>
      </c>
      <c r="N103" s="2">
        <f>IF(E103="","Waiting","Calibrated")</f>
        <v/>
      </c>
      <c r="O103" s="2" t="n"/>
      <c r="P103" s="2" t="inlineStr">
        <is>
          <t>ZM06</t>
        </is>
      </c>
      <c r="Q103" s="2" t="n"/>
      <c r="R103" s="28" t="n"/>
      <c r="S103" s="28" t="inlineStr">
        <is>
          <t>11LAB46GH101</t>
        </is>
      </c>
      <c r="T103" s="32" t="n"/>
    </row>
    <row r="104" ht="30" customFormat="1" customHeight="1" s="5">
      <c r="A104" s="17" t="n">
        <v>102</v>
      </c>
      <c r="B104" s="17" t="inlineStr">
        <is>
          <t>KIPP11</t>
        </is>
      </c>
      <c r="C104" s="2" t="inlineStr">
        <is>
          <t>11HAC22CF003</t>
        </is>
      </c>
      <c r="D104" s="14" t="inlineStr">
        <is>
          <t>LP FW FT 2</t>
        </is>
      </c>
      <c r="E104" s="37" t="n">
        <v>46113</v>
      </c>
      <c r="F104" s="103" t="n">
        <v>-621.6</v>
      </c>
      <c r="G104" s="103" t="n">
        <v>621.6</v>
      </c>
      <c r="H104" s="103" t="n">
        <v>0</v>
      </c>
      <c r="I104" s="103" t="n">
        <v>316</v>
      </c>
      <c r="J104" s="4" t="inlineStr">
        <is>
          <t>mBar</t>
        </is>
      </c>
      <c r="K104" s="19" t="inlineStr">
        <is>
          <t>ROSEMOUNT</t>
        </is>
      </c>
      <c r="L104" s="19" t="inlineStr">
        <is>
          <t>2051 PT</t>
        </is>
      </c>
      <c r="M104" s="20" t="n">
        <v>214473</v>
      </c>
      <c r="N104" s="2">
        <f>IF(E104="","Waiting","Calibrated")</f>
        <v/>
      </c>
      <c r="O104" s="2" t="n"/>
      <c r="P104" s="2" t="inlineStr">
        <is>
          <t>ZM06</t>
        </is>
      </c>
      <c r="Q104" s="2" t="n"/>
      <c r="R104" s="28" t="n"/>
      <c r="S104" s="28" t="inlineStr">
        <is>
          <t>11LAB46GH101</t>
        </is>
      </c>
      <c r="T104" s="32" t="n"/>
    </row>
    <row r="105" ht="30" customFormat="1" customHeight="1" s="5">
      <c r="A105" s="17" t="n">
        <v>103</v>
      </c>
      <c r="B105" s="17" t="inlineStr">
        <is>
          <t>KIPP11</t>
        </is>
      </c>
      <c r="C105" s="2" t="inlineStr">
        <is>
          <t>11HAC25CF002</t>
        </is>
      </c>
      <c r="D105" s="14" t="inlineStr">
        <is>
          <t>IP DRUM FW FLOW A</t>
        </is>
      </c>
      <c r="E105" s="37" t="n">
        <v>46113</v>
      </c>
      <c r="F105" s="103" t="n">
        <v>-621.6</v>
      </c>
      <c r="G105" s="103" t="n">
        <v>621.6</v>
      </c>
      <c r="H105" s="103" t="n">
        <v>0</v>
      </c>
      <c r="I105" s="103" t="n">
        <v>460</v>
      </c>
      <c r="J105" s="4" t="inlineStr">
        <is>
          <t>mBar</t>
        </is>
      </c>
      <c r="K105" s="33" t="inlineStr">
        <is>
          <t>ROSEMOUNT</t>
        </is>
      </c>
      <c r="L105" s="33" t="inlineStr">
        <is>
          <t>2051 PT</t>
        </is>
      </c>
      <c r="M105" s="20" t="n">
        <v>214462</v>
      </c>
      <c r="N105" s="2">
        <f>IF(E105="","Waiting","Calibrated")</f>
        <v/>
      </c>
      <c r="O105" s="2" t="n"/>
      <c r="P105" s="2" t="inlineStr">
        <is>
          <t>ZM06</t>
        </is>
      </c>
      <c r="Q105" s="2" t="n"/>
      <c r="R105" s="28" t="n"/>
      <c r="S105" s="28" t="inlineStr">
        <is>
          <t>11HAC25GH101</t>
        </is>
      </c>
      <c r="T105" s="32" t="n"/>
    </row>
    <row r="106" ht="30" customFormat="1" customHeight="1" s="5">
      <c r="A106" s="17" t="n">
        <v>104</v>
      </c>
      <c r="B106" s="17" t="inlineStr">
        <is>
          <t>KIPP11</t>
        </is>
      </c>
      <c r="C106" s="2" t="inlineStr">
        <is>
          <t>11HAC25CF003</t>
        </is>
      </c>
      <c r="D106" s="14" t="inlineStr">
        <is>
          <t>IP DRUM FW FLOW B</t>
        </is>
      </c>
      <c r="E106" s="37" t="n">
        <v>46113</v>
      </c>
      <c r="F106" s="103" t="n">
        <v>-621.6</v>
      </c>
      <c r="G106" s="103" t="n">
        <v>621.6</v>
      </c>
      <c r="H106" s="103" t="n">
        <v>0</v>
      </c>
      <c r="I106" s="103" t="n">
        <v>460</v>
      </c>
      <c r="J106" s="4" t="inlineStr">
        <is>
          <t>mBar</t>
        </is>
      </c>
      <c r="K106" s="33" t="inlineStr">
        <is>
          <t>ROSEMOUNT</t>
        </is>
      </c>
      <c r="L106" s="33" t="inlineStr">
        <is>
          <t>2051 PT</t>
        </is>
      </c>
      <c r="M106" s="20" t="n">
        <v>214467</v>
      </c>
      <c r="N106" s="2">
        <f>IF(E106="","Waiting","Calibrated")</f>
        <v/>
      </c>
      <c r="O106" s="2" t="n"/>
      <c r="P106" s="2" t="inlineStr">
        <is>
          <t>ZM06</t>
        </is>
      </c>
      <c r="Q106" s="2" t="n"/>
      <c r="R106" s="28" t="n"/>
      <c r="S106" s="28" t="inlineStr">
        <is>
          <t>11HAC25GH101</t>
        </is>
      </c>
      <c r="T106" s="32" t="n"/>
    </row>
    <row r="107" ht="30" customFormat="1" customHeight="1" s="5">
      <c r="A107" s="17" t="n">
        <v>105</v>
      </c>
      <c r="B107" s="17" t="inlineStr">
        <is>
          <t>KIPP11</t>
        </is>
      </c>
      <c r="C107" s="2" t="inlineStr">
        <is>
          <t>11HAC25CP001</t>
        </is>
      </c>
      <c r="D107" s="14" t="inlineStr">
        <is>
          <t>IP ECO O/L PT</t>
        </is>
      </c>
      <c r="E107" s="37" t="n"/>
      <c r="F107" s="103" t="n">
        <v>-1.01</v>
      </c>
      <c r="G107" s="103" t="n">
        <v>275.79</v>
      </c>
      <c r="H107" s="103" t="n">
        <v>0</v>
      </c>
      <c r="I107" s="103" t="n">
        <v>100</v>
      </c>
      <c r="J107" s="4" t="inlineStr">
        <is>
          <t>Bar</t>
        </is>
      </c>
      <c r="K107" s="33" t="inlineStr">
        <is>
          <t>ROSEMOUNT</t>
        </is>
      </c>
      <c r="L107" s="33" t="inlineStr">
        <is>
          <t>2051TG</t>
        </is>
      </c>
      <c r="M107" s="20" t="n">
        <v>210426</v>
      </c>
      <c r="N107" s="2">
        <f>IF(E107="","Waiting","Calibrated")</f>
        <v/>
      </c>
      <c r="O107" s="2" t="n"/>
      <c r="P107" s="2" t="inlineStr">
        <is>
          <t>ZM06</t>
        </is>
      </c>
      <c r="Q107" s="2" t="n"/>
      <c r="R107" s="28" t="n"/>
      <c r="S107" s="28" t="inlineStr">
        <is>
          <t>11HAC25GH101</t>
        </is>
      </c>
      <c r="T107" s="32" t="n"/>
    </row>
    <row r="108" ht="30" customFormat="1" customHeight="1" s="5">
      <c r="A108" s="17" t="n">
        <v>106</v>
      </c>
      <c r="B108" s="17" t="inlineStr">
        <is>
          <t>KIPP11</t>
        </is>
      </c>
      <c r="C108" s="2" t="inlineStr">
        <is>
          <t>11HAC58CF002</t>
        </is>
      </c>
      <c r="D108" s="14" t="inlineStr">
        <is>
          <t>HP ECO O/L FT 1</t>
        </is>
      </c>
      <c r="E108" s="107" t="n">
        <v>46118</v>
      </c>
      <c r="F108" s="103" t="n">
        <v>-621.6</v>
      </c>
      <c r="G108" s="103" t="n">
        <v>621.6</v>
      </c>
      <c r="H108" s="103" t="n">
        <v>0</v>
      </c>
      <c r="I108" s="103" t="n">
        <v>302</v>
      </c>
      <c r="J108" s="4" t="inlineStr">
        <is>
          <t>mBar</t>
        </is>
      </c>
      <c r="K108" s="33" t="inlineStr">
        <is>
          <t>ROSEMOUNT</t>
        </is>
      </c>
      <c r="L108" s="33" t="inlineStr">
        <is>
          <t>2051 CD</t>
        </is>
      </c>
      <c r="M108" s="20" t="n">
        <v>214452</v>
      </c>
      <c r="N108" s="2">
        <f>IF(E108="","Waiting","Calibrated")</f>
        <v/>
      </c>
      <c r="O108" s="2" t="n"/>
      <c r="P108" s="2" t="inlineStr">
        <is>
          <t>ZM06</t>
        </is>
      </c>
      <c r="Q108" s="2" t="n"/>
      <c r="R108" s="28" t="n"/>
      <c r="S108" s="28" t="inlineStr">
        <is>
          <t>11HAC58GH101</t>
        </is>
      </c>
      <c r="T108" s="32" t="n"/>
    </row>
    <row r="109" ht="30" customFormat="1" customHeight="1" s="5">
      <c r="A109" s="17" t="n">
        <v>107</v>
      </c>
      <c r="B109" s="17" t="inlineStr">
        <is>
          <t>KIPP11</t>
        </is>
      </c>
      <c r="C109" s="2" t="inlineStr">
        <is>
          <t>11HAC58CF003</t>
        </is>
      </c>
      <c r="D109" s="14" t="inlineStr">
        <is>
          <t>HP ECO O/L FT 2</t>
        </is>
      </c>
      <c r="E109" s="107" t="n">
        <v>46118</v>
      </c>
      <c r="F109" s="103" t="n">
        <v>-621.6</v>
      </c>
      <c r="G109" s="103" t="n">
        <v>621.6</v>
      </c>
      <c r="H109" s="103" t="n">
        <v>0</v>
      </c>
      <c r="I109" s="103" t="n">
        <v>302</v>
      </c>
      <c r="J109" s="4" t="inlineStr">
        <is>
          <t>mBar</t>
        </is>
      </c>
      <c r="K109" s="33" t="inlineStr">
        <is>
          <t>ROSEMOUNT</t>
        </is>
      </c>
      <c r="L109" s="33" t="inlineStr">
        <is>
          <t>2051 CD</t>
        </is>
      </c>
      <c r="M109" s="20" t="n">
        <v>214453</v>
      </c>
      <c r="N109" s="2">
        <f>IF(E109="","Waiting","Calibrated")</f>
        <v/>
      </c>
      <c r="O109" s="2" t="n"/>
      <c r="P109" s="2" t="inlineStr">
        <is>
          <t>ZM06</t>
        </is>
      </c>
      <c r="Q109" s="2" t="n"/>
      <c r="R109" s="28" t="n"/>
      <c r="S109" s="28" t="inlineStr">
        <is>
          <t>11HAC58GH101</t>
        </is>
      </c>
      <c r="T109" s="32" t="n"/>
    </row>
    <row r="110" ht="30" customFormat="1" customHeight="1" s="5">
      <c r="A110" s="17" t="n">
        <v>108</v>
      </c>
      <c r="B110" s="17" t="inlineStr">
        <is>
          <t>KIPP11</t>
        </is>
      </c>
      <c r="C110" s="2" t="inlineStr">
        <is>
          <t>11HAC58CP001</t>
        </is>
      </c>
      <c r="D110" s="14" t="inlineStr">
        <is>
          <t>HP ECO O/L PT</t>
        </is>
      </c>
      <c r="E110" s="107" t="n">
        <v>46118</v>
      </c>
      <c r="F110" s="103" t="n">
        <v>0</v>
      </c>
      <c r="G110" s="103" t="n">
        <v>689.7</v>
      </c>
      <c r="H110" s="103" t="n">
        <v>0</v>
      </c>
      <c r="I110" s="103" t="n">
        <v>300</v>
      </c>
      <c r="J110" s="4" t="inlineStr">
        <is>
          <t>Bar</t>
        </is>
      </c>
      <c r="K110" s="33" t="inlineStr">
        <is>
          <t>ROSEMOUNT</t>
        </is>
      </c>
      <c r="L110" s="33" t="inlineStr">
        <is>
          <t>2050 TG</t>
        </is>
      </c>
      <c r="M110" s="20" t="n">
        <v>210420</v>
      </c>
      <c r="N110" s="2">
        <f>IF(E110="","Waiting","Calibrated")</f>
        <v/>
      </c>
      <c r="O110" s="2" t="n"/>
      <c r="P110" s="2" t="inlineStr">
        <is>
          <t>ZM06</t>
        </is>
      </c>
      <c r="Q110" s="2" t="n"/>
      <c r="R110" s="28" t="n"/>
      <c r="S110" s="28" t="inlineStr">
        <is>
          <t>11HAC58GH101</t>
        </is>
      </c>
      <c r="T110" s="32" t="n"/>
    </row>
    <row r="111" ht="30" customFormat="1" customHeight="1" s="5">
      <c r="A111" s="17" t="n">
        <v>109</v>
      </c>
      <c r="B111" s="17" t="inlineStr">
        <is>
          <t>KIPP11</t>
        </is>
      </c>
      <c r="C111" s="2" t="inlineStr">
        <is>
          <t>11HAD10CL001</t>
        </is>
      </c>
      <c r="D111" s="14" t="inlineStr">
        <is>
          <t>LP DRUM LT 1</t>
        </is>
      </c>
      <c r="E111" s="37" t="n">
        <v>46115</v>
      </c>
      <c r="F111" s="103" t="n">
        <v>-6350</v>
      </c>
      <c r="G111" s="103" t="n">
        <v>6350</v>
      </c>
      <c r="H111" s="103" t="n">
        <v>-39</v>
      </c>
      <c r="I111" s="103" t="n">
        <v>-1294</v>
      </c>
      <c r="J111" s="4" t="inlineStr">
        <is>
          <t>mmH2O</t>
        </is>
      </c>
      <c r="K111" s="19" t="inlineStr">
        <is>
          <t>ROSEMOUNT</t>
        </is>
      </c>
      <c r="L111" s="19" t="inlineStr">
        <is>
          <t>2051 PT</t>
        </is>
      </c>
      <c r="M111" s="19" t="n">
        <v>3576009</v>
      </c>
      <c r="N111" s="2">
        <f>IF(E111="","Waiting","Calibrated")</f>
        <v/>
      </c>
      <c r="O111" s="2" t="n"/>
      <c r="P111" s="2" t="inlineStr">
        <is>
          <t>ZM06</t>
        </is>
      </c>
      <c r="Q111" s="2" t="n"/>
      <c r="R111" s="28" t="n"/>
      <c r="S111" s="28" t="inlineStr">
        <is>
          <t>11HAC25GH101</t>
        </is>
      </c>
      <c r="T111" s="32" t="n"/>
    </row>
    <row r="112" ht="30" customFormat="1" customHeight="1" s="5">
      <c r="A112" s="17" t="n">
        <v>110</v>
      </c>
      <c r="B112" s="17" t="inlineStr">
        <is>
          <t>KIPP11</t>
        </is>
      </c>
      <c r="C112" s="2" t="inlineStr">
        <is>
          <t>11HAD10CL002</t>
        </is>
      </c>
      <c r="D112" s="14" t="inlineStr">
        <is>
          <t>LP DRUM LT 2</t>
        </is>
      </c>
      <c r="E112" s="37" t="n">
        <v>46115</v>
      </c>
      <c r="F112" s="103" t="n">
        <v>-6350</v>
      </c>
      <c r="G112" s="103" t="n">
        <v>6350</v>
      </c>
      <c r="H112" s="103" t="n">
        <v>-39</v>
      </c>
      <c r="I112" s="103" t="n">
        <v>-1294</v>
      </c>
      <c r="J112" s="4" t="inlineStr">
        <is>
          <t>mmH2O</t>
        </is>
      </c>
      <c r="K112" s="19" t="inlineStr">
        <is>
          <t>ROSEMOUNT</t>
        </is>
      </c>
      <c r="L112" s="19" t="inlineStr">
        <is>
          <t>2051 PT</t>
        </is>
      </c>
      <c r="M112" s="19" t="n">
        <v>3576010</v>
      </c>
      <c r="N112" s="2">
        <f>IF(E112="","Waiting","Calibrated")</f>
        <v/>
      </c>
      <c r="O112" s="2" t="n"/>
      <c r="P112" s="2" t="inlineStr">
        <is>
          <t>ZM06</t>
        </is>
      </c>
      <c r="Q112" s="2" t="n"/>
      <c r="R112" s="28" t="n"/>
      <c r="S112" s="28" t="inlineStr">
        <is>
          <t>11HAD50GH102</t>
        </is>
      </c>
      <c r="T112" s="32" t="n"/>
    </row>
    <row r="113" ht="30" customFormat="1" customHeight="1" s="5">
      <c r="A113" s="17" t="n">
        <v>111</v>
      </c>
      <c r="B113" s="17" t="inlineStr">
        <is>
          <t>KIPP11</t>
        </is>
      </c>
      <c r="C113" s="2" t="inlineStr">
        <is>
          <t>11HAD10CL003</t>
        </is>
      </c>
      <c r="D113" s="14" t="inlineStr">
        <is>
          <t>LP DRUM LT 3</t>
        </is>
      </c>
      <c r="E113" s="37" t="inlineStr">
        <is>
          <t>3.04.2026</t>
        </is>
      </c>
      <c r="F113" s="103" t="n">
        <v>-6350</v>
      </c>
      <c r="G113" s="103" t="n">
        <v>6350</v>
      </c>
      <c r="H113" s="103" t="n">
        <v>-39</v>
      </c>
      <c r="I113" s="103" t="n">
        <v>-1294</v>
      </c>
      <c r="J113" s="4" t="inlineStr">
        <is>
          <t>mmH2O</t>
        </is>
      </c>
      <c r="K113" s="19" t="inlineStr">
        <is>
          <t>ROSEMOUNT</t>
        </is>
      </c>
      <c r="L113" s="19" t="inlineStr">
        <is>
          <t>2051 PT</t>
        </is>
      </c>
      <c r="M113" s="19" t="n">
        <v>3576011</v>
      </c>
      <c r="N113" s="2">
        <f>IF(E113="","Waiting","Calibrated")</f>
        <v/>
      </c>
      <c r="O113" s="2" t="n"/>
      <c r="P113" s="2" t="inlineStr">
        <is>
          <t>ZM06</t>
        </is>
      </c>
      <c r="Q113" s="2" t="n"/>
      <c r="R113" s="28" t="n"/>
      <c r="S113" s="28" t="inlineStr">
        <is>
          <t>11HAD50GH102</t>
        </is>
      </c>
      <c r="T113" s="32" t="n"/>
    </row>
    <row r="114" ht="30" customFormat="1" customHeight="1" s="5">
      <c r="A114" s="17" t="n">
        <v>112</v>
      </c>
      <c r="B114" s="17" t="inlineStr">
        <is>
          <t>KIPP11</t>
        </is>
      </c>
      <c r="C114" s="2" t="inlineStr">
        <is>
          <t>11HAD10CP001</t>
        </is>
      </c>
      <c r="D114" s="14" t="inlineStr">
        <is>
          <t>LP DRUM PT 1</t>
        </is>
      </c>
      <c r="E114" s="107" t="n">
        <v>46118</v>
      </c>
      <c r="F114" s="103" t="n">
        <v>-1.01</v>
      </c>
      <c r="G114" s="103" t="n">
        <v>55.16</v>
      </c>
      <c r="H114" s="103" t="n">
        <v>0</v>
      </c>
      <c r="I114" s="103" t="n">
        <v>15</v>
      </c>
      <c r="J114" s="4" t="inlineStr">
        <is>
          <t>Bar</t>
        </is>
      </c>
      <c r="K114" s="19" t="inlineStr">
        <is>
          <t>ROSEMOUNT</t>
        </is>
      </c>
      <c r="L114" s="19" t="inlineStr">
        <is>
          <t>2051 PT</t>
        </is>
      </c>
      <c r="M114" s="20" t="n">
        <v>3576027</v>
      </c>
      <c r="N114" s="2">
        <f>IF(E114="","Waiting","Calibrated")</f>
        <v/>
      </c>
      <c r="O114" s="2" t="n"/>
      <c r="P114" s="2" t="inlineStr">
        <is>
          <t>ZM06</t>
        </is>
      </c>
      <c r="Q114" s="2" t="n"/>
      <c r="R114" s="28" t="n"/>
      <c r="S114" s="28" t="inlineStr">
        <is>
          <t>11HAD30GH101</t>
        </is>
      </c>
      <c r="T114" s="32" t="n"/>
    </row>
    <row r="115" ht="30" customFormat="1" customHeight="1" s="5">
      <c r="A115" s="17" t="n">
        <v>113</v>
      </c>
      <c r="B115" s="17" t="inlineStr">
        <is>
          <t>KIPP11</t>
        </is>
      </c>
      <c r="C115" s="2" t="inlineStr">
        <is>
          <t>11HAD10CP002</t>
        </is>
      </c>
      <c r="D115" s="14" t="inlineStr">
        <is>
          <t>LP DRUM PT 2</t>
        </is>
      </c>
      <c r="E115" s="107" t="n">
        <v>46118</v>
      </c>
      <c r="F115" s="103" t="n">
        <v>-1.01</v>
      </c>
      <c r="G115" s="103" t="n">
        <v>55.16</v>
      </c>
      <c r="H115" s="103" t="n">
        <v>0</v>
      </c>
      <c r="I115" s="103" t="n">
        <v>15</v>
      </c>
      <c r="J115" s="4" t="inlineStr">
        <is>
          <t>Bar</t>
        </is>
      </c>
      <c r="K115" s="19" t="inlineStr">
        <is>
          <t>ROSEMOUNT</t>
        </is>
      </c>
      <c r="L115" s="19" t="inlineStr">
        <is>
          <t>2051 PT</t>
        </is>
      </c>
      <c r="M115" s="20" t="n">
        <v>3576028</v>
      </c>
      <c r="N115" s="2">
        <f>IF(E115="","Waiting","Calibrated")</f>
        <v/>
      </c>
      <c r="O115" s="2" t="n"/>
      <c r="P115" s="2" t="inlineStr">
        <is>
          <t>ZM06</t>
        </is>
      </c>
      <c r="Q115" s="2" t="n"/>
      <c r="R115" s="28" t="n"/>
      <c r="S115" s="28" t="inlineStr">
        <is>
          <t>11HAD30GH101</t>
        </is>
      </c>
      <c r="T115" s="32" t="n"/>
    </row>
    <row r="116" ht="30" customFormat="1" customHeight="1" s="5">
      <c r="A116" s="17" t="n">
        <v>114</v>
      </c>
      <c r="B116" s="17" t="inlineStr">
        <is>
          <t>KIPP11</t>
        </is>
      </c>
      <c r="C116" s="2" t="inlineStr">
        <is>
          <t>11HAD10CP003</t>
        </is>
      </c>
      <c r="D116" s="14" t="inlineStr">
        <is>
          <t>LP DRUM PT 3</t>
        </is>
      </c>
      <c r="E116" s="107" t="n">
        <v>46118</v>
      </c>
      <c r="F116" s="103" t="n">
        <v>-1.01</v>
      </c>
      <c r="G116" s="103" t="n">
        <v>55.16</v>
      </c>
      <c r="H116" s="103" t="n">
        <v>0</v>
      </c>
      <c r="I116" s="103" t="n">
        <v>15</v>
      </c>
      <c r="J116" s="4" t="inlineStr">
        <is>
          <t>Bar</t>
        </is>
      </c>
      <c r="K116" s="19" t="inlineStr">
        <is>
          <t>ROSEMOUNT</t>
        </is>
      </c>
      <c r="L116" s="19" t="inlineStr">
        <is>
          <t>2051 PT</t>
        </is>
      </c>
      <c r="M116" s="20" t="n">
        <v>3576029</v>
      </c>
      <c r="N116" s="2">
        <f>IF(E116="","Waiting","Calibrated")</f>
        <v/>
      </c>
      <c r="O116" s="2" t="n"/>
      <c r="P116" s="2" t="inlineStr">
        <is>
          <t>ZM06</t>
        </is>
      </c>
      <c r="Q116" s="2" t="n"/>
      <c r="R116" s="28" t="n"/>
      <c r="S116" s="28" t="inlineStr">
        <is>
          <t>11HAD30GH101</t>
        </is>
      </c>
      <c r="T116" s="32" t="n"/>
    </row>
    <row r="117" ht="30" customFormat="1" customHeight="1" s="5">
      <c r="A117" s="17" t="n">
        <v>115</v>
      </c>
      <c r="B117" s="17" t="inlineStr">
        <is>
          <t>KIPP11</t>
        </is>
      </c>
      <c r="C117" s="2" t="inlineStr">
        <is>
          <t>11HAD30CL001</t>
        </is>
      </c>
      <c r="D117" s="14" t="inlineStr">
        <is>
          <t>IP DRUM LT 1</t>
        </is>
      </c>
      <c r="E117" s="37" t="n">
        <v>46115</v>
      </c>
      <c r="F117" s="103" t="n">
        <v>-6350</v>
      </c>
      <c r="G117" s="103" t="n">
        <v>6350</v>
      </c>
      <c r="H117" s="103" t="n">
        <v>-34</v>
      </c>
      <c r="I117" s="103" t="n">
        <v>-1143</v>
      </c>
      <c r="J117" s="4" t="inlineStr">
        <is>
          <t>mmH2O</t>
        </is>
      </c>
      <c r="K117" s="19" t="inlineStr">
        <is>
          <t>ROSEMOUNT</t>
        </is>
      </c>
      <c r="L117" s="19" t="inlineStr">
        <is>
          <t>2051 PT</t>
        </is>
      </c>
      <c r="M117" s="19" t="n">
        <v>3576006</v>
      </c>
      <c r="N117" s="2">
        <f>IF(E117="","Waiting","Calibrated")</f>
        <v/>
      </c>
      <c r="O117" s="2" t="n"/>
      <c r="P117" s="2" t="inlineStr">
        <is>
          <t>ZM06</t>
        </is>
      </c>
      <c r="Q117" s="2" t="n"/>
      <c r="R117" s="28" t="n"/>
      <c r="S117" s="28" t="inlineStr">
        <is>
          <t>11HAC25GH101</t>
        </is>
      </c>
      <c r="T117" s="32" t="n"/>
    </row>
    <row r="118" ht="30" customFormat="1" customHeight="1" s="5">
      <c r="A118" s="17" t="n">
        <v>116</v>
      </c>
      <c r="B118" s="17" t="inlineStr">
        <is>
          <t>KIPP11</t>
        </is>
      </c>
      <c r="C118" s="2" t="inlineStr">
        <is>
          <t>11HAD30CL002</t>
        </is>
      </c>
      <c r="D118" s="14" t="inlineStr">
        <is>
          <t>IP DRUM LT 2</t>
        </is>
      </c>
      <c r="E118" s="37" t="n">
        <v>46115</v>
      </c>
      <c r="F118" s="103" t="n">
        <v>-6350</v>
      </c>
      <c r="G118" s="103" t="n">
        <v>6350</v>
      </c>
      <c r="H118" s="103" t="n">
        <v>-34</v>
      </c>
      <c r="I118" s="103" t="n">
        <v>-1143</v>
      </c>
      <c r="J118" s="4" t="inlineStr">
        <is>
          <t>mmH2O</t>
        </is>
      </c>
      <c r="K118" s="19" t="inlineStr">
        <is>
          <t>ROSEMOUNT</t>
        </is>
      </c>
      <c r="L118" s="19" t="inlineStr">
        <is>
          <t>2051 PT</t>
        </is>
      </c>
      <c r="M118" s="19" t="n">
        <v>3576007</v>
      </c>
      <c r="N118" s="2">
        <f>IF(E118="","Waiting","Calibrated")</f>
        <v/>
      </c>
      <c r="O118" s="2" t="n"/>
      <c r="P118" s="2" t="inlineStr">
        <is>
          <t>ZM06</t>
        </is>
      </c>
      <c r="Q118" s="2" t="n"/>
      <c r="R118" s="28" t="n"/>
      <c r="S118" s="28" t="inlineStr">
        <is>
          <t>11HAD50GH102</t>
        </is>
      </c>
      <c r="T118" s="32" t="n"/>
    </row>
    <row r="119" ht="30" customFormat="1" customHeight="1" s="5">
      <c r="A119" s="17" t="n">
        <v>117</v>
      </c>
      <c r="B119" s="17" t="inlineStr">
        <is>
          <t>KIPP11</t>
        </is>
      </c>
      <c r="C119" s="2" t="inlineStr">
        <is>
          <t>11HAD30CL003</t>
        </is>
      </c>
      <c r="D119" s="14" t="inlineStr">
        <is>
          <t>IP DRUM LT 3</t>
        </is>
      </c>
      <c r="E119" s="37" t="n">
        <v>46115</v>
      </c>
      <c r="F119" s="103" t="n">
        <v>-6350</v>
      </c>
      <c r="G119" s="103" t="n">
        <v>6350</v>
      </c>
      <c r="H119" s="103" t="n">
        <v>-34</v>
      </c>
      <c r="I119" s="103" t="n">
        <v>-1143</v>
      </c>
      <c r="J119" s="4" t="inlineStr">
        <is>
          <t>mmH2O</t>
        </is>
      </c>
      <c r="K119" s="19" t="inlineStr">
        <is>
          <t>ROSEMOUNT</t>
        </is>
      </c>
      <c r="L119" s="19" t="inlineStr">
        <is>
          <t>2051 PT</t>
        </is>
      </c>
      <c r="M119" s="19" t="n">
        <v>3576008</v>
      </c>
      <c r="N119" s="2">
        <f>IF(E119="","Waiting","Calibrated")</f>
        <v/>
      </c>
      <c r="O119" s="2" t="n"/>
      <c r="P119" s="2" t="inlineStr">
        <is>
          <t>ZM06</t>
        </is>
      </c>
      <c r="Q119" s="2" t="n"/>
      <c r="R119" s="28" t="n"/>
      <c r="S119" s="28" t="inlineStr">
        <is>
          <t>11HAD50GH102</t>
        </is>
      </c>
      <c r="T119" s="32" t="n"/>
    </row>
    <row r="120" ht="30" customFormat="1" customHeight="1" s="5">
      <c r="A120" s="17" t="n">
        <v>118</v>
      </c>
      <c r="B120" s="17" t="inlineStr">
        <is>
          <t>KIPP11</t>
        </is>
      </c>
      <c r="C120" s="2" t="inlineStr">
        <is>
          <t>11HAD30CP001</t>
        </is>
      </c>
      <c r="D120" s="14" t="inlineStr">
        <is>
          <t>IP DRUM PT 1</t>
        </is>
      </c>
      <c r="E120" s="107" t="n">
        <v>46115</v>
      </c>
      <c r="F120" s="103" t="n">
        <v>-1.01</v>
      </c>
      <c r="G120" s="103" t="n">
        <v>275.79</v>
      </c>
      <c r="H120" s="103" t="n">
        <v>0</v>
      </c>
      <c r="I120" s="103" t="n">
        <v>60</v>
      </c>
      <c r="J120" s="4" t="inlineStr">
        <is>
          <t>Bar</t>
        </is>
      </c>
      <c r="K120" s="19" t="inlineStr">
        <is>
          <t>ROSEMOUNT</t>
        </is>
      </c>
      <c r="L120" s="19" t="inlineStr">
        <is>
          <t>2051 PT</t>
        </is>
      </c>
      <c r="M120" s="20" t="n">
        <v>3575997</v>
      </c>
      <c r="N120" s="2">
        <f>IF(E120="","Waiting","Calibrated")</f>
        <v/>
      </c>
      <c r="O120" s="2" t="n"/>
      <c r="P120" s="2" t="inlineStr">
        <is>
          <t>ZM06</t>
        </is>
      </c>
      <c r="Q120" s="2" t="n"/>
      <c r="R120" s="28" t="n"/>
      <c r="S120" s="28" t="inlineStr">
        <is>
          <t>11HAD30GH101</t>
        </is>
      </c>
      <c r="T120" s="32" t="n"/>
    </row>
    <row r="121" ht="30" customFormat="1" customHeight="1" s="5">
      <c r="A121" s="17" t="n">
        <v>119</v>
      </c>
      <c r="B121" s="17" t="inlineStr">
        <is>
          <t>KIPP11</t>
        </is>
      </c>
      <c r="C121" s="2" t="inlineStr">
        <is>
          <t>11HAD30CP002</t>
        </is>
      </c>
      <c r="D121" s="14" t="inlineStr">
        <is>
          <t>IP DRUM PT 2</t>
        </is>
      </c>
      <c r="E121" s="107" t="n">
        <v>46115</v>
      </c>
      <c r="F121" s="103" t="n">
        <v>-1.01</v>
      </c>
      <c r="G121" s="103" t="n">
        <v>275.79</v>
      </c>
      <c r="H121" s="103" t="n">
        <v>0</v>
      </c>
      <c r="I121" s="103" t="n">
        <v>60</v>
      </c>
      <c r="J121" s="4" t="inlineStr">
        <is>
          <t>Bar</t>
        </is>
      </c>
      <c r="K121" s="19" t="inlineStr">
        <is>
          <t>ROSEMOUNT</t>
        </is>
      </c>
      <c r="L121" s="19" t="inlineStr">
        <is>
          <t>2051 PT</t>
        </is>
      </c>
      <c r="M121" s="20" t="n">
        <v>3575998</v>
      </c>
      <c r="N121" s="2">
        <f>IF(E121="","Waiting","Calibrated")</f>
        <v/>
      </c>
      <c r="O121" s="2" t="n"/>
      <c r="P121" s="2" t="inlineStr">
        <is>
          <t>ZM06</t>
        </is>
      </c>
      <c r="Q121" s="2" t="n"/>
      <c r="R121" s="28" t="n"/>
      <c r="S121" s="28" t="inlineStr">
        <is>
          <t>11HAD30GH101</t>
        </is>
      </c>
      <c r="T121" s="32" t="n"/>
    </row>
    <row r="122" ht="30" customFormat="1" customHeight="1" s="5">
      <c r="A122" s="17" t="n">
        <v>120</v>
      </c>
      <c r="B122" s="17" t="inlineStr">
        <is>
          <t>KIPP11</t>
        </is>
      </c>
      <c r="C122" s="2" t="inlineStr">
        <is>
          <t>11HAD30CP003</t>
        </is>
      </c>
      <c r="D122" s="14" t="inlineStr">
        <is>
          <t>IP DRUM PT 3</t>
        </is>
      </c>
      <c r="E122" s="107" t="n">
        <v>46115</v>
      </c>
      <c r="F122" s="103" t="n">
        <v>-1.01</v>
      </c>
      <c r="G122" s="103" t="n">
        <v>275.79</v>
      </c>
      <c r="H122" s="103" t="n">
        <v>0</v>
      </c>
      <c r="I122" s="103" t="n">
        <v>60</v>
      </c>
      <c r="J122" s="4" t="inlineStr">
        <is>
          <t>Bar</t>
        </is>
      </c>
      <c r="K122" s="19" t="inlineStr">
        <is>
          <t>ROSEMOUNT</t>
        </is>
      </c>
      <c r="L122" s="19" t="inlineStr">
        <is>
          <t>2051 PT</t>
        </is>
      </c>
      <c r="M122" s="20" t="n">
        <v>3575999</v>
      </c>
      <c r="N122" s="2">
        <f>IF(E122="","Waiting","Calibrated")</f>
        <v/>
      </c>
      <c r="O122" s="2" t="n"/>
      <c r="P122" s="2" t="inlineStr">
        <is>
          <t>ZM06</t>
        </is>
      </c>
      <c r="Q122" s="2" t="n"/>
      <c r="R122" s="28" t="n"/>
      <c r="S122" s="28" t="inlineStr">
        <is>
          <t>11HAD30GH101</t>
        </is>
      </c>
      <c r="T122" s="32" t="n"/>
    </row>
    <row r="123" ht="30" customFormat="1" customHeight="1" s="5">
      <c r="A123" s="17" t="n">
        <v>121</v>
      </c>
      <c r="B123" s="17" t="inlineStr">
        <is>
          <t>KIPP11</t>
        </is>
      </c>
      <c r="C123" s="2" t="inlineStr">
        <is>
          <t>11HAD50CL001</t>
        </is>
      </c>
      <c r="D123" s="14" t="inlineStr">
        <is>
          <t>HP DRUM LT 1</t>
        </is>
      </c>
      <c r="E123" s="37" t="n">
        <v>46115</v>
      </c>
      <c r="F123" s="103" t="n">
        <v>-6350</v>
      </c>
      <c r="G123" s="103" t="n">
        <v>6350</v>
      </c>
      <c r="H123" s="103" t="n">
        <v>-39</v>
      </c>
      <c r="I123" s="103" t="n">
        <v>-1294</v>
      </c>
      <c r="J123" s="4" t="inlineStr">
        <is>
          <t>mmH2O</t>
        </is>
      </c>
      <c r="K123" s="33" t="inlineStr">
        <is>
          <t>ROSEMOUNT</t>
        </is>
      </c>
      <c r="L123" s="33" t="inlineStr">
        <is>
          <t>2051 PT</t>
        </is>
      </c>
      <c r="M123" s="20" t="n">
        <v>3576004</v>
      </c>
      <c r="N123" s="2">
        <f>IF(E123="","Waiting","Calibrated")</f>
        <v/>
      </c>
      <c r="O123" s="2" t="n"/>
      <c r="P123" s="2" t="inlineStr">
        <is>
          <t>ZM06</t>
        </is>
      </c>
      <c r="Q123" s="2" t="n"/>
      <c r="R123" s="28" t="n"/>
      <c r="S123" s="28" t="inlineStr">
        <is>
          <t>11HAC25GH101</t>
        </is>
      </c>
      <c r="T123" s="32" t="n"/>
    </row>
    <row r="124" ht="30" customFormat="1" customHeight="1" s="5">
      <c r="A124" s="17" t="n">
        <v>122</v>
      </c>
      <c r="B124" s="17" t="inlineStr">
        <is>
          <t>KIPP11</t>
        </is>
      </c>
      <c r="C124" s="2" t="inlineStr">
        <is>
          <t>11HAD50CL002</t>
        </is>
      </c>
      <c r="D124" s="14" t="inlineStr">
        <is>
          <t>HP DRUM LT 2</t>
        </is>
      </c>
      <c r="E124" s="37" t="n">
        <v>46115</v>
      </c>
      <c r="F124" s="103" t="n">
        <v>-6350</v>
      </c>
      <c r="G124" s="103" t="n">
        <v>6350</v>
      </c>
      <c r="H124" s="103" t="n">
        <v>-39</v>
      </c>
      <c r="I124" s="103" t="n">
        <v>-1294</v>
      </c>
      <c r="J124" s="4" t="inlineStr">
        <is>
          <t>mmH2O</t>
        </is>
      </c>
      <c r="K124" s="19" t="inlineStr">
        <is>
          <t>ROSEMOUNT</t>
        </is>
      </c>
      <c r="L124" s="19" t="inlineStr">
        <is>
          <t>2051 PT</t>
        </is>
      </c>
      <c r="M124" s="19" t="n">
        <v>3576003</v>
      </c>
      <c r="N124" s="2">
        <f>IF(E124="","Waiting","Calibrated")</f>
        <v/>
      </c>
      <c r="O124" s="2" t="n"/>
      <c r="P124" s="2" t="inlineStr">
        <is>
          <t>ZM06</t>
        </is>
      </c>
      <c r="Q124" s="2" t="n"/>
      <c r="R124" s="28" t="n"/>
      <c r="S124" s="28" t="inlineStr">
        <is>
          <t>11HAD50GH102</t>
        </is>
      </c>
      <c r="T124" s="32" t="n"/>
    </row>
    <row r="125" ht="30" customFormat="1" customHeight="1" s="5">
      <c r="A125" s="17" t="n">
        <v>123</v>
      </c>
      <c r="B125" s="17" t="inlineStr">
        <is>
          <t>KIPP11</t>
        </is>
      </c>
      <c r="C125" s="2" t="inlineStr">
        <is>
          <t>11HAD50CL003</t>
        </is>
      </c>
      <c r="D125" s="14" t="inlineStr">
        <is>
          <t>HP DRUM LT 3</t>
        </is>
      </c>
      <c r="E125" s="107" t="n">
        <v>46115</v>
      </c>
      <c r="F125" s="103" t="n">
        <v>-6350</v>
      </c>
      <c r="G125" s="103" t="n">
        <v>6350</v>
      </c>
      <c r="H125" s="103" t="n">
        <v>-39</v>
      </c>
      <c r="I125" s="103" t="n">
        <v>-1294</v>
      </c>
      <c r="J125" s="4" t="inlineStr">
        <is>
          <t>mmH2O</t>
        </is>
      </c>
      <c r="K125" s="19" t="inlineStr">
        <is>
          <t>ROSEMOUNT</t>
        </is>
      </c>
      <c r="L125" s="19" t="inlineStr">
        <is>
          <t>2051 PT</t>
        </is>
      </c>
      <c r="M125" s="19" t="n">
        <v>3576005</v>
      </c>
      <c r="N125" s="2">
        <f>IF(E125="","Waiting","Calibrated")</f>
        <v/>
      </c>
      <c r="O125" s="2" t="n"/>
      <c r="P125" s="2" t="inlineStr">
        <is>
          <t>ZM06</t>
        </is>
      </c>
      <c r="Q125" s="2" t="n"/>
      <c r="R125" s="28" t="n"/>
      <c r="S125" s="28" t="inlineStr">
        <is>
          <t>11HAD50GH102</t>
        </is>
      </c>
      <c r="T125" s="32" t="n"/>
    </row>
    <row r="126" ht="30" customFormat="1" customHeight="1" s="5">
      <c r="A126" s="17" t="n">
        <v>124</v>
      </c>
      <c r="B126" s="17" t="inlineStr">
        <is>
          <t>KIPP11</t>
        </is>
      </c>
      <c r="C126" s="2" t="inlineStr">
        <is>
          <t>11HAD50CP001</t>
        </is>
      </c>
      <c r="D126" s="14" t="inlineStr">
        <is>
          <t>HP DRUM PT 1</t>
        </is>
      </c>
      <c r="E126" s="37" t="n">
        <v>46113</v>
      </c>
      <c r="F126" s="103" t="n">
        <v>0</v>
      </c>
      <c r="G126" s="103" t="n">
        <v>689.5</v>
      </c>
      <c r="H126" s="103" t="n">
        <v>0</v>
      </c>
      <c r="I126" s="103" t="n">
        <v>200</v>
      </c>
      <c r="J126" s="4" t="inlineStr">
        <is>
          <t>Bar</t>
        </is>
      </c>
      <c r="K126" s="19" t="inlineStr">
        <is>
          <t>ROSEMOUNT</t>
        </is>
      </c>
      <c r="L126" s="19" t="inlineStr">
        <is>
          <t>2051 PT</t>
        </is>
      </c>
      <c r="M126" s="20" t="n">
        <v>3575991</v>
      </c>
      <c r="N126" s="2">
        <f>IF(E126="","Waiting","Calibrated")</f>
        <v/>
      </c>
      <c r="O126" s="2" t="n"/>
      <c r="P126" s="2" t="inlineStr">
        <is>
          <t>ZM06</t>
        </is>
      </c>
      <c r="Q126" s="2" t="n"/>
      <c r="R126" s="28" t="n"/>
      <c r="S126" s="28" t="inlineStr">
        <is>
          <t>11HAD50GH101</t>
        </is>
      </c>
      <c r="T126" s="32" t="n"/>
    </row>
    <row r="127" ht="30" customFormat="1" customHeight="1" s="5">
      <c r="A127" s="17" t="n">
        <v>125</v>
      </c>
      <c r="B127" s="17" t="inlineStr">
        <is>
          <t>KIPP11</t>
        </is>
      </c>
      <c r="C127" s="2" t="inlineStr">
        <is>
          <t>11HAD50CP002</t>
        </is>
      </c>
      <c r="D127" s="14" t="inlineStr">
        <is>
          <t>HP DRUM PT 2</t>
        </is>
      </c>
      <c r="E127" s="37" t="n">
        <v>46113</v>
      </c>
      <c r="F127" s="103" t="n">
        <v>0</v>
      </c>
      <c r="G127" s="103" t="n">
        <v>689.5</v>
      </c>
      <c r="H127" s="103" t="n">
        <v>0</v>
      </c>
      <c r="I127" s="103" t="n">
        <v>200</v>
      </c>
      <c r="J127" s="4" t="inlineStr">
        <is>
          <t>Bar</t>
        </is>
      </c>
      <c r="K127" s="19" t="inlineStr">
        <is>
          <t>ROSEMOUNT</t>
        </is>
      </c>
      <c r="L127" s="19" t="inlineStr">
        <is>
          <t>2051 PT</t>
        </is>
      </c>
      <c r="M127" s="20" t="n">
        <v>3575992</v>
      </c>
      <c r="N127" s="2">
        <f>IF(E127="","Waiting","Calibrated")</f>
        <v/>
      </c>
      <c r="O127" s="2" t="n"/>
      <c r="P127" s="2" t="inlineStr">
        <is>
          <t>ZM06</t>
        </is>
      </c>
      <c r="Q127" s="2" t="n"/>
      <c r="R127" s="28" t="n"/>
      <c r="S127" s="28" t="inlineStr">
        <is>
          <t>11HAD50GH101</t>
        </is>
      </c>
      <c r="T127" s="32" t="n"/>
    </row>
    <row r="128" ht="30" customFormat="1" customHeight="1" s="5">
      <c r="A128" s="17" t="n">
        <v>126</v>
      </c>
      <c r="B128" s="17" t="inlineStr">
        <is>
          <t>KIPP11</t>
        </is>
      </c>
      <c r="C128" s="2" t="inlineStr">
        <is>
          <t>11HAD50CP003</t>
        </is>
      </c>
      <c r="D128" s="14" t="inlineStr">
        <is>
          <t>HP DRUM PT 3</t>
        </is>
      </c>
      <c r="E128" s="37" t="n">
        <v>46113</v>
      </c>
      <c r="F128" s="103" t="n">
        <v>0</v>
      </c>
      <c r="G128" s="103" t="n">
        <v>689.5</v>
      </c>
      <c r="H128" s="103" t="n">
        <v>0</v>
      </c>
      <c r="I128" s="103" t="n">
        <v>200</v>
      </c>
      <c r="J128" s="4" t="inlineStr">
        <is>
          <t>Bar</t>
        </is>
      </c>
      <c r="K128" s="19" t="inlineStr">
        <is>
          <t>ROSEMOUNT</t>
        </is>
      </c>
      <c r="L128" s="19" t="inlineStr">
        <is>
          <t>2051 PT</t>
        </is>
      </c>
      <c r="M128" s="20" t="n">
        <v>3575993</v>
      </c>
      <c r="N128" s="2">
        <f>IF(E128="","Waiting","Calibrated")</f>
        <v/>
      </c>
      <c r="O128" s="2" t="n"/>
      <c r="P128" s="2" t="inlineStr">
        <is>
          <t>ZM06</t>
        </is>
      </c>
      <c r="Q128" s="2" t="n"/>
      <c r="R128" s="28" t="n"/>
      <c r="S128" s="28" t="inlineStr">
        <is>
          <t>11HAD50GH101</t>
        </is>
      </c>
      <c r="T128" s="32" t="n"/>
    </row>
    <row r="129" ht="30" customFormat="1" customHeight="1" s="5">
      <c r="A129" s="17" t="n">
        <v>127</v>
      </c>
      <c r="B129" s="17" t="inlineStr">
        <is>
          <t>KIPP11</t>
        </is>
      </c>
      <c r="C129" s="2" t="inlineStr">
        <is>
          <t>11LAB20CF101</t>
        </is>
      </c>
      <c r="D129" s="14" t="inlineStr">
        <is>
          <t>HP STEAM BYPASS SPRAYAY WATER FT</t>
        </is>
      </c>
      <c r="E129" s="37" t="n"/>
      <c r="F129" s="103" t="n">
        <v>-6350</v>
      </c>
      <c r="G129" s="103" t="n">
        <v>6350</v>
      </c>
      <c r="H129" s="103" t="n">
        <v>0</v>
      </c>
      <c r="I129" s="103" t="n">
        <v>6300</v>
      </c>
      <c r="J129" s="4" t="inlineStr">
        <is>
          <t>mmH2O</t>
        </is>
      </c>
      <c r="K129" s="19" t="inlineStr">
        <is>
          <t>ROSEMOUNT</t>
        </is>
      </c>
      <c r="L129" s="19" t="inlineStr">
        <is>
          <t>2051 PT</t>
        </is>
      </c>
      <c r="M129" s="20" t="n">
        <v>214447</v>
      </c>
      <c r="N129" s="2">
        <f>IF(E129="","Waiting","Calibrated")</f>
        <v/>
      </c>
      <c r="O129" s="2" t="n"/>
      <c r="P129" s="2" t="inlineStr">
        <is>
          <t>ZM06</t>
        </is>
      </c>
      <c r="Q129" s="2" t="n"/>
      <c r="R129" s="28" t="n"/>
      <c r="S129" s="28" t="n"/>
      <c r="T129" s="32" t="n"/>
    </row>
    <row r="130" ht="30" customFormat="1" customHeight="1" s="5">
      <c r="A130" s="17" t="n">
        <v>128</v>
      </c>
      <c r="B130" s="17" t="inlineStr">
        <is>
          <t>KIPP11</t>
        </is>
      </c>
      <c r="C130" s="2" t="inlineStr">
        <is>
          <t>11LAB31CF101</t>
        </is>
      </c>
      <c r="D130" s="14" t="inlineStr">
        <is>
          <t>FEED WATER FROM CONDENSATE PREHEATER FT</t>
        </is>
      </c>
      <c r="E130" s="107" t="n">
        <v>46118</v>
      </c>
      <c r="F130" s="103" t="n">
        <v>-10197.2</v>
      </c>
      <c r="G130" s="103" t="n">
        <v>10197.2</v>
      </c>
      <c r="H130" s="103" t="n">
        <v>0</v>
      </c>
      <c r="I130" s="103" t="n">
        <v>7500</v>
      </c>
      <c r="J130" s="4" t="inlineStr">
        <is>
          <t>mmH2O</t>
        </is>
      </c>
      <c r="K130" s="19" t="inlineStr">
        <is>
          <t>YOKOGAWA</t>
        </is>
      </c>
      <c r="L130" s="19" t="inlineStr">
        <is>
          <t>EJA110E</t>
        </is>
      </c>
      <c r="M130" s="19" t="inlineStr">
        <is>
          <t>91S313068</t>
        </is>
      </c>
      <c r="N130" s="2">
        <f>IF(E130="","Waiting","Calibrated")</f>
        <v/>
      </c>
      <c r="O130" s="2" t="n"/>
      <c r="P130" s="2" t="inlineStr">
        <is>
          <t>ZM06</t>
        </is>
      </c>
      <c r="Q130" s="2" t="n"/>
      <c r="R130" s="28" t="n"/>
      <c r="S130" s="28" t="inlineStr">
        <is>
          <t>10LAB10GH101</t>
        </is>
      </c>
      <c r="T130" s="32" t="n"/>
    </row>
    <row r="131" ht="30" customFormat="1" customHeight="1" s="5">
      <c r="A131" s="17" t="n">
        <v>129</v>
      </c>
      <c r="B131" s="17" t="inlineStr">
        <is>
          <t>KIPP11</t>
        </is>
      </c>
      <c r="C131" s="2" t="inlineStr">
        <is>
          <t>11LAB46CP001</t>
        </is>
      </c>
      <c r="D131" s="14" t="inlineStr">
        <is>
          <t>IP/LP FW PT</t>
        </is>
      </c>
      <c r="E131" s="37" t="n">
        <v>46114</v>
      </c>
      <c r="F131" s="103" t="n">
        <v>-1.01</v>
      </c>
      <c r="G131" s="103" t="n">
        <v>275.79</v>
      </c>
      <c r="H131" s="103" t="n">
        <v>0</v>
      </c>
      <c r="I131" s="103" t="n">
        <v>100</v>
      </c>
      <c r="J131" s="4" t="inlineStr">
        <is>
          <t>Bar</t>
        </is>
      </c>
      <c r="K131" s="19" t="inlineStr">
        <is>
          <t>ROSEMOUNT</t>
        </is>
      </c>
      <c r="L131" s="19" t="inlineStr">
        <is>
          <t>2051 PT</t>
        </is>
      </c>
      <c r="M131" s="20" t="n">
        <v>210430</v>
      </c>
      <c r="N131" s="2">
        <f>IF(E131="","Waiting","Calibrated")</f>
        <v/>
      </c>
      <c r="O131" s="2" t="n"/>
      <c r="P131" s="2" t="inlineStr">
        <is>
          <t>ZM06</t>
        </is>
      </c>
      <c r="Q131" s="2" t="n"/>
      <c r="R131" s="28" t="n"/>
      <c r="S131" s="28" t="inlineStr">
        <is>
          <t>11LAB46GH101</t>
        </is>
      </c>
      <c r="T131" s="32" t="n"/>
    </row>
    <row r="132" ht="30" customFormat="1" customHeight="1" s="5">
      <c r="A132" s="17" t="n">
        <v>130</v>
      </c>
      <c r="B132" s="17" t="inlineStr">
        <is>
          <t>KIPP11</t>
        </is>
      </c>
      <c r="C132" s="2" t="inlineStr">
        <is>
          <t>11LAB90CP001</t>
        </is>
      </c>
      <c r="D132" s="14" t="inlineStr">
        <is>
          <t>FEED WATER TO GT OTC STRAINER PDT</t>
        </is>
      </c>
      <c r="E132" s="107" t="n">
        <v>46118</v>
      </c>
      <c r="F132" s="103" t="n">
        <v>-5</v>
      </c>
      <c r="G132" s="103" t="n">
        <v>5</v>
      </c>
      <c r="H132" s="103" t="n">
        <v>0</v>
      </c>
      <c r="I132" s="103" t="n">
        <v>2</v>
      </c>
      <c r="J132" s="4" t="inlineStr">
        <is>
          <t>Bar</t>
        </is>
      </c>
      <c r="K132" s="33" t="inlineStr">
        <is>
          <t>YOKOGAWA</t>
        </is>
      </c>
      <c r="L132" s="33" t="inlineStr">
        <is>
          <t>EJA110E</t>
        </is>
      </c>
      <c r="M132" s="20" t="inlineStr">
        <is>
          <t>91S313545</t>
        </is>
      </c>
      <c r="N132" s="2">
        <f>IF(E132="","Waiting","Calibrated")</f>
        <v/>
      </c>
      <c r="O132" s="2" t="n"/>
      <c r="P132" s="2" t="inlineStr">
        <is>
          <t>ZM06</t>
        </is>
      </c>
      <c r="Q132" s="2" t="n"/>
      <c r="R132" s="28" t="n"/>
      <c r="S132" s="28" t="n"/>
      <c r="T132" s="32" t="n"/>
    </row>
    <row r="133" ht="30" customFormat="1" customHeight="1" s="5">
      <c r="A133" s="17" t="n">
        <v>131</v>
      </c>
      <c r="B133" s="17" t="inlineStr">
        <is>
          <t>KIPP11</t>
        </is>
      </c>
      <c r="C133" s="2" t="inlineStr">
        <is>
          <t>11LAB91CF101</t>
        </is>
      </c>
      <c r="D133" s="14" t="inlineStr">
        <is>
          <t>FW LP OTC  FITCA</t>
        </is>
      </c>
      <c r="E133" s="107" t="n">
        <v>46118</v>
      </c>
      <c r="F133" s="103" t="n">
        <v>-2486.4</v>
      </c>
      <c r="G133" s="103" t="n">
        <v>2486.4</v>
      </c>
      <c r="H133" s="103" t="n">
        <v>0</v>
      </c>
      <c r="I133" s="103" t="n">
        <v>600</v>
      </c>
      <c r="J133" s="4" t="inlineStr">
        <is>
          <t>mBar</t>
        </is>
      </c>
      <c r="K133" s="33" t="inlineStr">
        <is>
          <t>ROSEMOUNT</t>
        </is>
      </c>
      <c r="L133" s="33" t="inlineStr">
        <is>
          <t>3051CD</t>
        </is>
      </c>
      <c r="M133" s="20" t="n">
        <v>9816770</v>
      </c>
      <c r="N133" s="2">
        <f>IF(E133="","Waiting","Calibrated")</f>
        <v/>
      </c>
      <c r="O133" s="2" t="n"/>
      <c r="P133" s="2" t="inlineStr">
        <is>
          <t>ZM06</t>
        </is>
      </c>
      <c r="Q133" s="2" t="n"/>
      <c r="R133" s="28" t="n"/>
      <c r="S133" s="28" t="n"/>
      <c r="T133" s="32" t="n"/>
    </row>
    <row r="134" ht="30" customFormat="1" customHeight="1" s="5">
      <c r="A134" s="17" t="n">
        <v>132</v>
      </c>
      <c r="B134" s="17" t="inlineStr">
        <is>
          <t>KIPP11</t>
        </is>
      </c>
      <c r="C134" s="2" t="inlineStr">
        <is>
          <t>11LAB91CF102</t>
        </is>
      </c>
      <c r="D134" s="14" t="inlineStr">
        <is>
          <t>FW LP OTC  FITCA</t>
        </is>
      </c>
      <c r="E134" s="107" t="n">
        <v>46118</v>
      </c>
      <c r="F134" s="103" t="n">
        <v>-2486.4</v>
      </c>
      <c r="G134" s="103" t="n">
        <v>2486.4</v>
      </c>
      <c r="H134" s="103" t="n">
        <v>0</v>
      </c>
      <c r="I134" s="103" t="n">
        <v>600</v>
      </c>
      <c r="J134" s="4" t="inlineStr">
        <is>
          <t>mBar</t>
        </is>
      </c>
      <c r="K134" s="33" t="inlineStr">
        <is>
          <t>ROSEMOUNT</t>
        </is>
      </c>
      <c r="L134" s="33" t="inlineStr">
        <is>
          <t>3051CD</t>
        </is>
      </c>
      <c r="M134" s="20" t="n">
        <v>9816771</v>
      </c>
      <c r="N134" s="2">
        <f>IF(E134="","Waiting","Calibrated")</f>
        <v/>
      </c>
      <c r="O134" s="2" t="n"/>
      <c r="P134" s="2" t="inlineStr">
        <is>
          <t>ZM06</t>
        </is>
      </c>
      <c r="Q134" s="2" t="n"/>
      <c r="R134" s="28" t="n"/>
      <c r="S134" s="28" t="n"/>
      <c r="T134" s="32" t="n"/>
    </row>
    <row r="135" ht="30" customFormat="1" customHeight="1" s="5">
      <c r="A135" s="17" t="n">
        <v>133</v>
      </c>
      <c r="B135" s="17" t="inlineStr">
        <is>
          <t>KIPP11</t>
        </is>
      </c>
      <c r="C135" s="2" t="inlineStr">
        <is>
          <t>11LAB92CF101</t>
        </is>
      </c>
      <c r="D135" s="14" t="inlineStr">
        <is>
          <t>FW HP OTC  FITCA</t>
        </is>
      </c>
      <c r="E135" s="107" t="n">
        <v>46118</v>
      </c>
      <c r="F135" s="103" t="n">
        <v>-2486.4</v>
      </c>
      <c r="G135" s="103" t="n">
        <v>2486.4</v>
      </c>
      <c r="H135" s="103" t="n">
        <v>0</v>
      </c>
      <c r="I135" s="103" t="n">
        <v>250</v>
      </c>
      <c r="J135" s="4" t="inlineStr">
        <is>
          <t>mBar</t>
        </is>
      </c>
      <c r="K135" s="33" t="inlineStr">
        <is>
          <t>ROSEMOUNT</t>
        </is>
      </c>
      <c r="L135" s="33" t="inlineStr">
        <is>
          <t>3051CD</t>
        </is>
      </c>
      <c r="M135" s="20" t="n">
        <v>9816772</v>
      </c>
      <c r="N135" s="2">
        <f>IF(E135="","Waiting","Calibrated")</f>
        <v/>
      </c>
      <c r="O135" s="2" t="n"/>
      <c r="P135" s="2" t="inlineStr">
        <is>
          <t>ZM06</t>
        </is>
      </c>
      <c r="Q135" s="2" t="n"/>
      <c r="R135" s="28" t="n"/>
      <c r="S135" s="28" t="n"/>
      <c r="T135" s="32" t="n"/>
    </row>
    <row r="136" ht="30" customFormat="1" customHeight="1" s="5">
      <c r="A136" s="17" t="n">
        <v>134</v>
      </c>
      <c r="B136" s="17" t="inlineStr">
        <is>
          <t>KIPP11</t>
        </is>
      </c>
      <c r="C136" s="2" t="inlineStr">
        <is>
          <t>11LAB92CF102</t>
        </is>
      </c>
      <c r="D136" s="14" t="inlineStr">
        <is>
          <t>FW HP OTC  FITCA</t>
        </is>
      </c>
      <c r="E136" s="107" t="n">
        <v>46118</v>
      </c>
      <c r="F136" s="103" t="n">
        <v>-2486.4</v>
      </c>
      <c r="G136" s="103" t="n">
        <v>2486.4</v>
      </c>
      <c r="H136" s="103" t="n">
        <v>0</v>
      </c>
      <c r="I136" s="103" t="n">
        <v>250</v>
      </c>
      <c r="J136" s="4" t="inlineStr">
        <is>
          <t>mBar</t>
        </is>
      </c>
      <c r="K136" s="33" t="inlineStr">
        <is>
          <t>ROSEMOUNT</t>
        </is>
      </c>
      <c r="L136" s="33" t="inlineStr">
        <is>
          <t>3051CD</t>
        </is>
      </c>
      <c r="M136" s="20" t="n">
        <v>9816773</v>
      </c>
      <c r="N136" s="2">
        <f>IF(E136="","Waiting","Calibrated")</f>
        <v/>
      </c>
      <c r="O136" s="2" t="n"/>
      <c r="P136" s="2" t="inlineStr">
        <is>
          <t>ZM06</t>
        </is>
      </c>
      <c r="Q136" s="2" t="n"/>
      <c r="R136" s="28" t="n"/>
      <c r="S136" s="28" t="n"/>
      <c r="T136" s="32" t="n"/>
    </row>
    <row r="137" ht="30" customFormat="1" customHeight="1" s="5">
      <c r="A137" s="17" t="n">
        <v>135</v>
      </c>
      <c r="B137" s="17" t="inlineStr">
        <is>
          <t>KIPP11</t>
        </is>
      </c>
      <c r="C137" s="2" t="inlineStr">
        <is>
          <t>11LAB96CP001</t>
        </is>
      </c>
      <c r="D137" s="14" t="inlineStr">
        <is>
          <t>HP FW PT</t>
        </is>
      </c>
      <c r="E137" s="37" t="n">
        <v>46114</v>
      </c>
      <c r="F137" s="103" t="n">
        <v>0</v>
      </c>
      <c r="G137" s="103" t="n">
        <v>289.3</v>
      </c>
      <c r="H137" s="103" t="n">
        <v>0</v>
      </c>
      <c r="I137" s="103" t="n">
        <v>300</v>
      </c>
      <c r="J137" s="4" t="inlineStr">
        <is>
          <t>Bar</t>
        </is>
      </c>
      <c r="K137" s="19" t="inlineStr">
        <is>
          <t>ROSEMOUNT</t>
        </is>
      </c>
      <c r="L137" s="19" t="inlineStr">
        <is>
          <t>2051 PT</t>
        </is>
      </c>
      <c r="M137" s="20" t="n">
        <v>210424</v>
      </c>
      <c r="N137" s="2">
        <f>IF(E137="","Waiting","Calibrated")</f>
        <v/>
      </c>
      <c r="O137" s="2" t="n"/>
      <c r="P137" s="2" t="inlineStr">
        <is>
          <t>ZM06</t>
        </is>
      </c>
      <c r="Q137" s="2" t="n"/>
      <c r="R137" s="28" t="n"/>
      <c r="S137" s="28" t="inlineStr">
        <is>
          <t>11LAB96GH101</t>
        </is>
      </c>
      <c r="T137" s="32" t="n"/>
    </row>
    <row r="138" ht="30" customFormat="1" customHeight="1" s="5">
      <c r="A138" s="17" t="n">
        <v>136</v>
      </c>
      <c r="B138" s="17" t="inlineStr">
        <is>
          <t>KIPP11</t>
        </is>
      </c>
      <c r="C138" s="2" t="inlineStr">
        <is>
          <t>11LAE50CF002</t>
        </is>
      </c>
      <c r="D138" s="14" t="inlineStr">
        <is>
          <t>HP DESUPERHEATER SPRAY FT 1</t>
        </is>
      </c>
      <c r="E138" s="37" t="n">
        <v>46113</v>
      </c>
      <c r="F138" s="103" t="n">
        <v>-621.6</v>
      </c>
      <c r="G138" s="103" t="n">
        <v>621.6</v>
      </c>
      <c r="H138" s="103" t="n">
        <v>0</v>
      </c>
      <c r="I138" s="103" t="n">
        <v>524</v>
      </c>
      <c r="J138" s="4" t="inlineStr">
        <is>
          <t>mBar</t>
        </is>
      </c>
      <c r="K138" s="19" t="inlineStr">
        <is>
          <t>ROSEMOUNT</t>
        </is>
      </c>
      <c r="L138" s="19" t="inlineStr">
        <is>
          <t>2051 PT</t>
        </is>
      </c>
      <c r="M138" s="19" t="n">
        <v>214454</v>
      </c>
      <c r="N138" s="2">
        <f>IF(E138="","Waiting","Calibrated")</f>
        <v/>
      </c>
      <c r="O138" s="2" t="n"/>
      <c r="P138" s="2" t="inlineStr">
        <is>
          <t>ZM06</t>
        </is>
      </c>
      <c r="Q138" s="2" t="n"/>
      <c r="R138" s="28" t="n"/>
      <c r="S138" s="28" t="inlineStr">
        <is>
          <t>11LAE50GH101</t>
        </is>
      </c>
      <c r="T138" s="32" t="n"/>
    </row>
    <row r="139" ht="30" customFormat="1" customHeight="1" s="5">
      <c r="A139" s="17" t="n">
        <v>137</v>
      </c>
      <c r="B139" s="17" t="inlineStr">
        <is>
          <t>KIPP11</t>
        </is>
      </c>
      <c r="C139" s="2" t="inlineStr">
        <is>
          <t>11LAE50CF003</t>
        </is>
      </c>
      <c r="D139" s="14" t="inlineStr">
        <is>
          <t>HP DESUPERHEATER SPRAY FT 2</t>
        </is>
      </c>
      <c r="E139" s="37" t="n">
        <v>46113</v>
      </c>
      <c r="F139" s="103" t="n">
        <v>-621.6</v>
      </c>
      <c r="G139" s="103" t="n">
        <v>621.6</v>
      </c>
      <c r="H139" s="103" t="n">
        <v>0</v>
      </c>
      <c r="I139" s="103" t="n">
        <v>524</v>
      </c>
      <c r="J139" s="4" t="inlineStr">
        <is>
          <t>mBar</t>
        </is>
      </c>
      <c r="K139" s="19" t="inlineStr">
        <is>
          <t>ROSEMOUNT</t>
        </is>
      </c>
      <c r="L139" s="19" t="inlineStr">
        <is>
          <t>2051 PT</t>
        </is>
      </c>
      <c r="M139" s="19" t="n">
        <v>214455</v>
      </c>
      <c r="N139" s="2">
        <f>IF(E139="","Waiting","Calibrated")</f>
        <v/>
      </c>
      <c r="O139" s="2" t="n"/>
      <c r="P139" s="2" t="inlineStr">
        <is>
          <t>ZM06</t>
        </is>
      </c>
      <c r="Q139" s="2" t="n"/>
      <c r="R139" s="28" t="n"/>
      <c r="S139" s="28" t="inlineStr">
        <is>
          <t>11LAE50GH101</t>
        </is>
      </c>
      <c r="T139" s="32" t="n"/>
    </row>
    <row r="140" ht="30" customFormat="1" customHeight="1" s="5">
      <c r="A140" s="17" t="n">
        <v>138</v>
      </c>
      <c r="B140" s="17" t="inlineStr">
        <is>
          <t>KIPP11</t>
        </is>
      </c>
      <c r="C140" s="2" t="inlineStr">
        <is>
          <t>11LAF40CF002</t>
        </is>
      </c>
      <c r="D140" s="14" t="inlineStr">
        <is>
          <t>RH DESUPERHEATER SPRAY FT 1</t>
        </is>
      </c>
      <c r="E140" s="37" t="n">
        <v>46113</v>
      </c>
      <c r="F140" s="103" t="n">
        <v>-621.6</v>
      </c>
      <c r="G140" s="103" t="n">
        <v>621.6</v>
      </c>
      <c r="H140" s="103" t="n">
        <v>0</v>
      </c>
      <c r="I140" s="103" t="n">
        <v>322</v>
      </c>
      <c r="J140" s="4" t="inlineStr">
        <is>
          <t>mBar</t>
        </is>
      </c>
      <c r="K140" s="19" t="inlineStr">
        <is>
          <t>ROSEMOUNT</t>
        </is>
      </c>
      <c r="L140" s="19" t="inlineStr">
        <is>
          <t>2051 PT</t>
        </is>
      </c>
      <c r="M140" s="19" t="n">
        <v>214468</v>
      </c>
      <c r="N140" s="2">
        <f>IF(E140="","Waiting","Calibrated")</f>
        <v/>
      </c>
      <c r="O140" s="2" t="n"/>
      <c r="P140" s="2" t="inlineStr">
        <is>
          <t>ZM06</t>
        </is>
      </c>
      <c r="Q140" s="2" t="n"/>
      <c r="R140" s="28" t="n"/>
      <c r="S140" s="28" t="inlineStr">
        <is>
          <t>11LAB46GH101</t>
        </is>
      </c>
      <c r="T140" s="32" t="n"/>
    </row>
    <row r="141" ht="30" customFormat="1" customHeight="1" s="5">
      <c r="A141" s="17" t="n">
        <v>139</v>
      </c>
      <c r="B141" s="17" t="inlineStr">
        <is>
          <t>KIPP11</t>
        </is>
      </c>
      <c r="C141" s="2" t="inlineStr">
        <is>
          <t>11LAF40CF003</t>
        </is>
      </c>
      <c r="D141" s="14" t="inlineStr">
        <is>
          <t>RH DESUPERHEATER SPRAY FT 2</t>
        </is>
      </c>
      <c r="E141" s="37" t="n">
        <v>46113</v>
      </c>
      <c r="F141" s="103" t="n">
        <v>-621.6</v>
      </c>
      <c r="G141" s="103" t="n">
        <v>621.6</v>
      </c>
      <c r="H141" s="103" t="n">
        <v>0</v>
      </c>
      <c r="I141" s="103" t="n">
        <v>322</v>
      </c>
      <c r="J141" s="4" t="inlineStr">
        <is>
          <t>mBar</t>
        </is>
      </c>
      <c r="K141" s="19" t="inlineStr">
        <is>
          <t>ROSEMOUNT</t>
        </is>
      </c>
      <c r="L141" s="19" t="inlineStr">
        <is>
          <t>2051 PT</t>
        </is>
      </c>
      <c r="M141" s="19" t="n">
        <v>214469</v>
      </c>
      <c r="N141" s="2">
        <f>IF(E141="","Waiting","Calibrated")</f>
        <v/>
      </c>
      <c r="O141" s="2" t="n"/>
      <c r="P141" s="2" t="inlineStr">
        <is>
          <t>ZM06</t>
        </is>
      </c>
      <c r="Q141" s="2" t="n"/>
      <c r="R141" s="28" t="n"/>
      <c r="S141" s="28" t="inlineStr">
        <is>
          <t>11LAB46GH101</t>
        </is>
      </c>
      <c r="T141" s="32" t="n"/>
    </row>
    <row r="142" ht="30" customFormat="1" customHeight="1" s="5">
      <c r="A142" s="17" t="n">
        <v>140</v>
      </c>
      <c r="B142" s="17" t="inlineStr">
        <is>
          <t>KIPP11</t>
        </is>
      </c>
      <c r="C142" s="2" t="inlineStr">
        <is>
          <t>11LBA00CP101</t>
        </is>
      </c>
      <c r="D142" s="14" t="inlineStr">
        <is>
          <t>HP STEAM PRESSURE</t>
        </is>
      </c>
      <c r="E142" s="37" t="n">
        <v>46098</v>
      </c>
      <c r="F142" s="103" t="n">
        <v>-1</v>
      </c>
      <c r="G142" s="103" t="n">
        <v>500</v>
      </c>
      <c r="H142" s="103" t="n">
        <v>0</v>
      </c>
      <c r="I142" s="103" t="n">
        <v>151</v>
      </c>
      <c r="J142" s="4" t="inlineStr">
        <is>
          <t>Bar</t>
        </is>
      </c>
      <c r="K142" s="19" t="inlineStr">
        <is>
          <t>YOKOGAWA</t>
        </is>
      </c>
      <c r="L142" s="19" t="inlineStr">
        <is>
          <t>EJA530E</t>
        </is>
      </c>
      <c r="M142" s="19" t="inlineStr">
        <is>
          <t>91S313315</t>
        </is>
      </c>
      <c r="N142" s="2">
        <f>IF(E142="","Waiting","Calibrated")</f>
        <v/>
      </c>
      <c r="O142" s="2" t="n"/>
      <c r="P142" s="2" t="inlineStr">
        <is>
          <t>ZM06</t>
        </is>
      </c>
      <c r="Q142" s="2" t="n"/>
      <c r="R142" s="28" t="n"/>
      <c r="S142" s="28" t="n"/>
      <c r="T142" s="32" t="inlineStr">
        <is>
          <t>Set: 2,2 - Reset: 1,99</t>
        </is>
      </c>
    </row>
    <row r="143" ht="30" customFormat="1" customHeight="1" s="5">
      <c r="A143" s="17" t="n">
        <v>141</v>
      </c>
      <c r="B143" s="17" t="inlineStr">
        <is>
          <t>KIPP11</t>
        </is>
      </c>
      <c r="C143" s="2" t="inlineStr">
        <is>
          <t>11LBA10CF002</t>
        </is>
      </c>
      <c r="D143" s="14" t="inlineStr">
        <is>
          <t>LP STEAM O/L FT 1</t>
        </is>
      </c>
      <c r="E143" s="37" t="n">
        <v>46097</v>
      </c>
      <c r="F143" s="103" t="n">
        <v>-621.6</v>
      </c>
      <c r="G143" s="103" t="n">
        <v>621.6</v>
      </c>
      <c r="H143" s="103" t="n">
        <v>0</v>
      </c>
      <c r="I143" s="103" t="n">
        <v>115</v>
      </c>
      <c r="J143" s="4" t="inlineStr">
        <is>
          <t>mBar</t>
        </is>
      </c>
      <c r="K143" s="19" t="inlineStr">
        <is>
          <t>ROSEMOUNT</t>
        </is>
      </c>
      <c r="L143" s="19" t="inlineStr">
        <is>
          <t>2051 PT</t>
        </is>
      </c>
      <c r="M143" s="19" t="n">
        <v>214474</v>
      </c>
      <c r="N143" s="2">
        <f>IF(E143="","Waiting","Calibrated")</f>
        <v/>
      </c>
      <c r="O143" s="2" t="n"/>
      <c r="P143" s="2" t="inlineStr">
        <is>
          <t>ZM06</t>
        </is>
      </c>
      <c r="Q143" s="2" t="n"/>
      <c r="R143" s="28" t="n"/>
      <c r="S143" s="28" t="inlineStr">
        <is>
          <t>11LAB96GH101</t>
        </is>
      </c>
      <c r="T143" s="32" t="n"/>
    </row>
    <row r="144" ht="30" customFormat="1" customHeight="1" s="5">
      <c r="A144" s="17" t="n">
        <v>142</v>
      </c>
      <c r="B144" s="17" t="inlineStr">
        <is>
          <t>KIPP11</t>
        </is>
      </c>
      <c r="C144" s="2" t="inlineStr">
        <is>
          <t>11LBA10CF003</t>
        </is>
      </c>
      <c r="D144" s="14" t="inlineStr">
        <is>
          <t>LP STEAM O/L FT 2</t>
        </is>
      </c>
      <c r="E144" s="37" t="n">
        <v>46097</v>
      </c>
      <c r="F144" s="103" t="n">
        <v>-621.6</v>
      </c>
      <c r="G144" s="103" t="n">
        <v>621.6</v>
      </c>
      <c r="H144" s="103" t="n">
        <v>0</v>
      </c>
      <c r="I144" s="103" t="n">
        <v>115</v>
      </c>
      <c r="J144" s="4" t="inlineStr">
        <is>
          <t>mBar</t>
        </is>
      </c>
      <c r="K144" s="19" t="inlineStr">
        <is>
          <t>ROSEMOUNT</t>
        </is>
      </c>
      <c r="L144" s="19" t="inlineStr">
        <is>
          <t>2051 PT</t>
        </is>
      </c>
      <c r="M144" s="19" t="n">
        <v>214475</v>
      </c>
      <c r="N144" s="2">
        <f>IF(E144="","Waiting","Calibrated")</f>
        <v/>
      </c>
      <c r="O144" s="2" t="n"/>
      <c r="P144" s="2" t="inlineStr">
        <is>
          <t>ZM06</t>
        </is>
      </c>
      <c r="Q144" s="2" t="n"/>
      <c r="R144" s="28" t="n"/>
      <c r="S144" s="28" t="inlineStr">
        <is>
          <t>11LAB96GH101</t>
        </is>
      </c>
      <c r="T144" s="32" t="n"/>
    </row>
    <row r="145" ht="30" customFormat="1" customHeight="1" s="5">
      <c r="A145" s="17" t="n">
        <v>143</v>
      </c>
      <c r="B145" s="17" t="inlineStr">
        <is>
          <t>KIPP11</t>
        </is>
      </c>
      <c r="C145" s="2" t="inlineStr">
        <is>
          <t>11LBA10CP001</t>
        </is>
      </c>
      <c r="D145" s="14" t="inlineStr">
        <is>
          <t>LP STEAM PRESSURE</t>
        </is>
      </c>
      <c r="E145" s="37" t="n">
        <v>46105</v>
      </c>
      <c r="F145" s="103" t="n">
        <v>-1</v>
      </c>
      <c r="G145" s="103" t="n">
        <v>55.16</v>
      </c>
      <c r="H145" s="103" t="n">
        <v>0</v>
      </c>
      <c r="I145" s="103" t="n">
        <v>15</v>
      </c>
      <c r="J145" s="4" t="inlineStr">
        <is>
          <t>Bar</t>
        </is>
      </c>
      <c r="K145" s="19" t="inlineStr">
        <is>
          <t>ROSEMOUNT</t>
        </is>
      </c>
      <c r="L145" s="19" t="inlineStr">
        <is>
          <t>2051 PT</t>
        </is>
      </c>
      <c r="M145" s="20" t="n">
        <v>210437</v>
      </c>
      <c r="N145" s="2">
        <f>IF(E145="","Waiting","Calibrated")</f>
        <v/>
      </c>
      <c r="O145" s="2" t="n"/>
      <c r="P145" s="2" t="inlineStr">
        <is>
          <t>ZM06</t>
        </is>
      </c>
      <c r="Q145" s="2" t="n"/>
      <c r="R145" s="28" t="n"/>
      <c r="S145" s="28" t="inlineStr">
        <is>
          <t>11LAB96GH101</t>
        </is>
      </c>
      <c r="T145" s="32" t="n"/>
    </row>
    <row r="146" ht="30" customFormat="1" customHeight="1" s="5">
      <c r="A146" s="17" t="n">
        <v>144</v>
      </c>
      <c r="B146" s="17" t="inlineStr">
        <is>
          <t>KIPP11</t>
        </is>
      </c>
      <c r="C146" s="2" t="inlineStr">
        <is>
          <t>11LBA20CP101</t>
        </is>
      </c>
      <c r="D146" s="14" t="inlineStr">
        <is>
          <t>HP BYPASS VALVE OUTLET PRESSURE A</t>
        </is>
      </c>
      <c r="E146" s="37" t="n">
        <v>46098</v>
      </c>
      <c r="F146" s="103" t="n">
        <v>-1</v>
      </c>
      <c r="G146" s="103" t="n">
        <v>100</v>
      </c>
      <c r="H146" s="103" t="n">
        <v>0</v>
      </c>
      <c r="I146" s="103" t="n">
        <v>43</v>
      </c>
      <c r="J146" s="4" t="inlineStr">
        <is>
          <t>Bar</t>
        </is>
      </c>
      <c r="K146" s="19" t="inlineStr">
        <is>
          <t>YOKOGAWA</t>
        </is>
      </c>
      <c r="L146" s="19" t="inlineStr">
        <is>
          <t>EJA530E</t>
        </is>
      </c>
      <c r="M146" s="19" t="inlineStr">
        <is>
          <t>91S313282</t>
        </is>
      </c>
      <c r="N146" s="2">
        <f>IF(E146="","Waiting","Calibrated")</f>
        <v/>
      </c>
      <c r="O146" s="2" t="n"/>
      <c r="P146" s="2" t="inlineStr">
        <is>
          <t>ZM06</t>
        </is>
      </c>
      <c r="Q146" s="2" t="n"/>
      <c r="R146" s="28" t="n"/>
      <c r="S146" s="28" t="n"/>
      <c r="T146" s="32" t="n"/>
    </row>
    <row r="147" ht="30" customFormat="1" customHeight="1" s="5">
      <c r="A147" s="17" t="n">
        <v>145</v>
      </c>
      <c r="B147" s="17" t="inlineStr">
        <is>
          <t>KIPP11</t>
        </is>
      </c>
      <c r="C147" s="2" t="inlineStr">
        <is>
          <t>11LBA20CP102</t>
        </is>
      </c>
      <c r="D147" s="14" t="inlineStr">
        <is>
          <t>HP BYPASS VALVE OUTLET PRESSURE B</t>
        </is>
      </c>
      <c r="E147" s="37" t="n">
        <v>46098</v>
      </c>
      <c r="F147" s="103" t="n">
        <v>-1</v>
      </c>
      <c r="G147" s="103" t="n">
        <v>100</v>
      </c>
      <c r="H147" s="103" t="n">
        <v>0</v>
      </c>
      <c r="I147" s="103" t="n">
        <v>43</v>
      </c>
      <c r="J147" s="4" t="inlineStr">
        <is>
          <t>Bar</t>
        </is>
      </c>
      <c r="K147" s="19" t="inlineStr">
        <is>
          <t>YOKOGAWA</t>
        </is>
      </c>
      <c r="L147" s="19" t="inlineStr">
        <is>
          <t>EJA530E</t>
        </is>
      </c>
      <c r="M147" s="19" t="inlineStr">
        <is>
          <t>91S313283</t>
        </is>
      </c>
      <c r="N147" s="2">
        <f>IF(E147="","Waiting","Calibrated")</f>
        <v/>
      </c>
      <c r="O147" s="2" t="n"/>
      <c r="P147" s="2" t="inlineStr">
        <is>
          <t>ZM06</t>
        </is>
      </c>
      <c r="Q147" s="2" t="n"/>
      <c r="R147" s="28" t="n"/>
      <c r="S147" s="28" t="n"/>
      <c r="T147" s="32" t="n"/>
    </row>
    <row r="148" ht="30" customFormat="1" customHeight="1" s="5">
      <c r="A148" s="17" t="n">
        <v>146</v>
      </c>
      <c r="B148" s="17" t="inlineStr">
        <is>
          <t>KIPP11</t>
        </is>
      </c>
      <c r="C148" s="2" t="inlineStr">
        <is>
          <t>11LBA30CF002</t>
        </is>
      </c>
      <c r="D148" s="14" t="inlineStr">
        <is>
          <t>IP STEAM O/L FT 1</t>
        </is>
      </c>
      <c r="E148" s="107" t="n">
        <v>46118</v>
      </c>
      <c r="F148" s="103" t="n">
        <v>-621.6</v>
      </c>
      <c r="G148" s="103" t="n">
        <v>621.6</v>
      </c>
      <c r="H148" s="103" t="n">
        <v>0</v>
      </c>
      <c r="I148" s="103" t="n">
        <v>322</v>
      </c>
      <c r="J148" s="4" t="inlineStr">
        <is>
          <t>mBar</t>
        </is>
      </c>
      <c r="K148" s="19" t="inlineStr">
        <is>
          <t>ROSEMOUNT</t>
        </is>
      </c>
      <c r="L148" s="19" t="inlineStr">
        <is>
          <t>2051 PT</t>
        </is>
      </c>
      <c r="M148" s="19" t="n">
        <v>214470</v>
      </c>
      <c r="N148" s="2">
        <f>IF(E148="","Waiting","Calibrated")</f>
        <v/>
      </c>
      <c r="O148" s="2" t="n"/>
      <c r="P148" s="2" t="inlineStr">
        <is>
          <t>ZM06</t>
        </is>
      </c>
      <c r="Q148" s="2" t="n"/>
      <c r="R148" s="28" t="n"/>
      <c r="S148" s="28" t="inlineStr">
        <is>
          <t>11LBA30GH101</t>
        </is>
      </c>
      <c r="T148" s="32" t="n"/>
    </row>
    <row r="149" ht="30" customFormat="1" customHeight="1" s="5">
      <c r="A149" s="17" t="n">
        <v>147</v>
      </c>
      <c r="B149" s="17" t="inlineStr">
        <is>
          <t>KIPP11</t>
        </is>
      </c>
      <c r="C149" s="2" t="inlineStr">
        <is>
          <t>11LBA30CF003</t>
        </is>
      </c>
      <c r="D149" s="14" t="inlineStr">
        <is>
          <t>IP STEAM O/L FT 2</t>
        </is>
      </c>
      <c r="E149" s="107" t="n">
        <v>46118</v>
      </c>
      <c r="F149" s="103" t="n">
        <v>-621.6</v>
      </c>
      <c r="G149" s="103" t="n">
        <v>621.6</v>
      </c>
      <c r="H149" s="103" t="n">
        <v>0</v>
      </c>
      <c r="I149" s="103" t="n">
        <v>322</v>
      </c>
      <c r="J149" s="4" t="inlineStr">
        <is>
          <t>mBar</t>
        </is>
      </c>
      <c r="K149" s="19" t="inlineStr">
        <is>
          <t>ROSEMOUNT</t>
        </is>
      </c>
      <c r="L149" s="19" t="inlineStr">
        <is>
          <t>2051 PT</t>
        </is>
      </c>
      <c r="M149" s="19" t="n">
        <v>214471</v>
      </c>
      <c r="N149" s="2">
        <f>IF(E149="","Waiting","Calibrated")</f>
        <v/>
      </c>
      <c r="O149" s="2" t="n"/>
      <c r="P149" s="2" t="inlineStr">
        <is>
          <t>ZM06</t>
        </is>
      </c>
      <c r="Q149" s="2" t="n"/>
      <c r="R149" s="28" t="n"/>
      <c r="S149" s="28" t="inlineStr">
        <is>
          <t>11LBA30GH101</t>
        </is>
      </c>
      <c r="T149" s="32" t="n"/>
    </row>
    <row r="150" ht="30" customFormat="1" customHeight="1" s="5">
      <c r="A150" s="17" t="n">
        <v>148</v>
      </c>
      <c r="B150" s="17" t="inlineStr">
        <is>
          <t>KIPP11</t>
        </is>
      </c>
      <c r="C150" s="2" t="inlineStr">
        <is>
          <t>11LBA30CP001</t>
        </is>
      </c>
      <c r="D150" s="14" t="inlineStr">
        <is>
          <t>IP STEAM O/L PT</t>
        </is>
      </c>
      <c r="E150" s="107" t="n">
        <v>46118</v>
      </c>
      <c r="F150" s="103" t="n">
        <v>-1.01</v>
      </c>
      <c r="G150" s="103" t="n">
        <v>275.79</v>
      </c>
      <c r="H150" s="103" t="n">
        <v>0</v>
      </c>
      <c r="I150" s="103" t="n">
        <v>60</v>
      </c>
      <c r="J150" s="4" t="inlineStr">
        <is>
          <t>Bar</t>
        </is>
      </c>
      <c r="K150" s="19" t="inlineStr">
        <is>
          <t>ROSEMOUNT</t>
        </is>
      </c>
      <c r="L150" s="19" t="inlineStr">
        <is>
          <t>2051 PT</t>
        </is>
      </c>
      <c r="M150" s="20" t="n">
        <v>210431</v>
      </c>
      <c r="N150" s="2">
        <f>IF(E150="","Waiting","Calibrated")</f>
        <v/>
      </c>
      <c r="O150" s="2" t="n"/>
      <c r="P150" s="2" t="n"/>
      <c r="Q150" s="2" t="n"/>
      <c r="R150" s="28" t="n"/>
      <c r="S150" s="28" t="inlineStr">
        <is>
          <t>11LBA30GH101</t>
        </is>
      </c>
      <c r="T150" s="32" t="n"/>
    </row>
    <row r="151" ht="30" customFormat="1" customHeight="1" s="5">
      <c r="A151" s="17" t="n">
        <v>149</v>
      </c>
      <c r="B151" s="17" t="inlineStr">
        <is>
          <t>KIPP11</t>
        </is>
      </c>
      <c r="C151" s="2" t="inlineStr">
        <is>
          <t>11LBA31CP101</t>
        </is>
      </c>
      <c r="D151" s="14" t="inlineStr">
        <is>
          <t>LP STEAM PT</t>
        </is>
      </c>
      <c r="E151" s="37" t="n">
        <v>46105</v>
      </c>
      <c r="F151" s="103" t="n">
        <v>-1</v>
      </c>
      <c r="G151" s="103" t="n">
        <v>20</v>
      </c>
      <c r="H151" s="103" t="n">
        <v>0</v>
      </c>
      <c r="I151" s="103" t="n">
        <v>10</v>
      </c>
      <c r="J151" s="4" t="inlineStr">
        <is>
          <t>Bar</t>
        </is>
      </c>
      <c r="K151" s="19" t="inlineStr">
        <is>
          <t>YOKOGAWA</t>
        </is>
      </c>
      <c r="L151" s="19" t="inlineStr">
        <is>
          <t>EJA530E</t>
        </is>
      </c>
      <c r="M151" s="19" t="inlineStr">
        <is>
          <t>91S313226</t>
        </is>
      </c>
      <c r="N151" s="2">
        <f>IF(E151="","Waiting","Calibrated")</f>
        <v/>
      </c>
      <c r="O151" s="2" t="n"/>
      <c r="P151" s="2" t="n"/>
      <c r="Q151" s="2" t="n"/>
      <c r="R151" s="28" t="n"/>
      <c r="S151" s="28" t="n"/>
      <c r="T151" s="32" t="n"/>
    </row>
    <row r="152" ht="30" customFormat="1" customHeight="1" s="5">
      <c r="A152" s="17" t="n">
        <v>150</v>
      </c>
      <c r="B152" s="17" t="inlineStr">
        <is>
          <t>KIPP11</t>
        </is>
      </c>
      <c r="C152" s="2" t="inlineStr">
        <is>
          <t>11LBA40CP101</t>
        </is>
      </c>
      <c r="D152" s="14" t="inlineStr">
        <is>
          <t>LP STEAM BYPASS VALVE OUTLET PT</t>
        </is>
      </c>
      <c r="E152" s="37" t="n">
        <v>46104</v>
      </c>
      <c r="F152" s="103" t="n">
        <v>-1</v>
      </c>
      <c r="G152" s="103" t="n">
        <v>20</v>
      </c>
      <c r="H152" s="103" t="n">
        <v>0</v>
      </c>
      <c r="I152" s="103" t="n">
        <v>4</v>
      </c>
      <c r="J152" s="4" t="inlineStr">
        <is>
          <t>Bar</t>
        </is>
      </c>
      <c r="K152" s="19" t="inlineStr">
        <is>
          <t>YOKOGAWA</t>
        </is>
      </c>
      <c r="L152" s="19" t="inlineStr">
        <is>
          <t>EJA530E</t>
        </is>
      </c>
      <c r="M152" s="19" t="inlineStr">
        <is>
          <t>91S313227</t>
        </is>
      </c>
      <c r="N152" s="2">
        <f>IF(E152="","Waiting","Calibrated")</f>
        <v/>
      </c>
      <c r="O152" s="2" t="n"/>
      <c r="P152" s="2" t="n"/>
      <c r="Q152" s="2" t="n"/>
      <c r="R152" s="28" t="n"/>
      <c r="S152" s="28" t="n"/>
      <c r="T152" s="32" t="n"/>
    </row>
    <row r="153" ht="30" customFormat="1" customHeight="1" s="5">
      <c r="A153" s="17" t="n">
        <v>151</v>
      </c>
      <c r="B153" s="17" t="inlineStr">
        <is>
          <t>KIPP11</t>
        </is>
      </c>
      <c r="C153" s="2" t="inlineStr">
        <is>
          <t>11LBA40CP102</t>
        </is>
      </c>
      <c r="D153" s="14" t="inlineStr">
        <is>
          <t>LP STEAM BYPASS VALVE OUTLET PT</t>
        </is>
      </c>
      <c r="E153" s="37" t="n">
        <v>46104</v>
      </c>
      <c r="F153" s="103" t="n">
        <v>-1</v>
      </c>
      <c r="G153" s="103" t="n">
        <v>20</v>
      </c>
      <c r="H153" s="103" t="n">
        <v>0</v>
      </c>
      <c r="I153" s="103" t="n">
        <v>4</v>
      </c>
      <c r="J153" s="4" t="inlineStr">
        <is>
          <t>Bar</t>
        </is>
      </c>
      <c r="K153" s="19" t="inlineStr">
        <is>
          <t>YOKOGAWA</t>
        </is>
      </c>
      <c r="L153" s="19" t="inlineStr">
        <is>
          <t>EJA530E</t>
        </is>
      </c>
      <c r="M153" s="19" t="inlineStr">
        <is>
          <t>91S313228</t>
        </is>
      </c>
      <c r="N153" s="2">
        <f>IF(E153="","Waiting","Calibrated")</f>
        <v/>
      </c>
      <c r="O153" s="2" t="n"/>
      <c r="P153" s="2" t="n"/>
      <c r="Q153" s="2" t="n"/>
      <c r="R153" s="28" t="n"/>
      <c r="S153" s="28" t="n"/>
      <c r="T153" s="32" t="n"/>
    </row>
    <row r="154" ht="30" customFormat="1" customHeight="1" s="5">
      <c r="A154" s="17" t="n">
        <v>152</v>
      </c>
      <c r="B154" s="17" t="inlineStr">
        <is>
          <t>KIPP11</t>
        </is>
      </c>
      <c r="C154" s="2" t="inlineStr">
        <is>
          <t>11LBA50CF002</t>
        </is>
      </c>
      <c r="D154" s="14" t="inlineStr">
        <is>
          <t>HP STEAM O/L FT 1</t>
        </is>
      </c>
      <c r="E154" s="37" t="n">
        <v>46114</v>
      </c>
      <c r="F154" s="103" t="n">
        <v>-2486</v>
      </c>
      <c r="G154" s="103" t="n">
        <v>2486</v>
      </c>
      <c r="H154" s="103" t="n">
        <v>0</v>
      </c>
      <c r="I154" s="103" t="n">
        <v>1600</v>
      </c>
      <c r="J154" s="4" t="inlineStr">
        <is>
          <t>mBar</t>
        </is>
      </c>
      <c r="K154" s="19" t="inlineStr">
        <is>
          <t>ROSEMOUNT</t>
        </is>
      </c>
      <c r="L154" s="19" t="inlineStr">
        <is>
          <t>2051 PT</t>
        </is>
      </c>
      <c r="M154" s="19" t="n">
        <v>214456</v>
      </c>
      <c r="N154" s="2">
        <f>IF(E154="","Waiting","Calibrated")</f>
        <v/>
      </c>
      <c r="O154" s="2" t="n"/>
      <c r="P154" s="2" t="inlineStr">
        <is>
          <t>ZM06</t>
        </is>
      </c>
      <c r="Q154" s="2" t="n"/>
      <c r="R154" s="28" t="n"/>
      <c r="S154" s="28" t="inlineStr">
        <is>
          <t>11LBC00GH101</t>
        </is>
      </c>
      <c r="T154" s="32" t="n"/>
    </row>
    <row r="155" ht="30" customFormat="1" customHeight="1" s="5">
      <c r="A155" s="17" t="n">
        <v>153</v>
      </c>
      <c r="B155" s="17" t="inlineStr">
        <is>
          <t>KIPP11</t>
        </is>
      </c>
      <c r="C155" s="2" t="inlineStr">
        <is>
          <t>11LBA50CF003</t>
        </is>
      </c>
      <c r="D155" s="14" t="inlineStr">
        <is>
          <t>HP STEAM O/L FT 2</t>
        </is>
      </c>
      <c r="E155" s="37" t="n">
        <v>46114</v>
      </c>
      <c r="F155" s="103" t="n">
        <v>-2486</v>
      </c>
      <c r="G155" s="103" t="n">
        <v>2486</v>
      </c>
      <c r="H155" s="103" t="n">
        <v>0</v>
      </c>
      <c r="I155" s="103" t="n">
        <v>1600</v>
      </c>
      <c r="J155" s="4" t="inlineStr">
        <is>
          <t>mBar</t>
        </is>
      </c>
      <c r="K155" s="19" t="inlineStr">
        <is>
          <t>ROSEMOUNT</t>
        </is>
      </c>
      <c r="L155" s="19" t="inlineStr">
        <is>
          <t>2051 PT</t>
        </is>
      </c>
      <c r="M155" s="19" t="n">
        <v>214457</v>
      </c>
      <c r="N155" s="2">
        <f>IF(E155="","Waiting","Calibrated")</f>
        <v/>
      </c>
      <c r="O155" s="2" t="n"/>
      <c r="P155" s="2" t="inlineStr">
        <is>
          <t>ZM06</t>
        </is>
      </c>
      <c r="Q155" s="2" t="n"/>
      <c r="R155" s="28" t="n"/>
      <c r="S155" s="28" t="inlineStr">
        <is>
          <t>11LBC00GH101</t>
        </is>
      </c>
      <c r="T155" s="32" t="n"/>
    </row>
    <row r="156" ht="30" customFormat="1" customHeight="1" s="5">
      <c r="A156" s="17" t="n">
        <v>154</v>
      </c>
      <c r="B156" s="17" t="inlineStr">
        <is>
          <t>KIPP11</t>
        </is>
      </c>
      <c r="C156" s="2" t="inlineStr">
        <is>
          <t>11LBA50CP001</t>
        </is>
      </c>
      <c r="D156" s="14" t="inlineStr">
        <is>
          <t>HP STEAM PT</t>
        </is>
      </c>
      <c r="E156" s="37" t="n">
        <v>46114</v>
      </c>
      <c r="F156" s="103" t="n">
        <v>0</v>
      </c>
      <c r="G156" s="103" t="n">
        <v>689.5</v>
      </c>
      <c r="H156" s="103" t="n">
        <v>0</v>
      </c>
      <c r="I156" s="103" t="n">
        <v>200</v>
      </c>
      <c r="J156" s="4" t="inlineStr">
        <is>
          <t>Bar</t>
        </is>
      </c>
      <c r="K156" s="19" t="inlineStr">
        <is>
          <t>ROSEMOUNT</t>
        </is>
      </c>
      <c r="L156" s="19" t="inlineStr">
        <is>
          <t>2051 PT</t>
        </is>
      </c>
      <c r="M156" s="20" t="n">
        <v>210425</v>
      </c>
      <c r="N156" s="2">
        <f>IF(E156="","Waiting","Calibrated")</f>
        <v/>
      </c>
      <c r="O156" s="2" t="n"/>
      <c r="P156" s="2" t="inlineStr">
        <is>
          <t>ZM06</t>
        </is>
      </c>
      <c r="Q156" s="2" t="n"/>
      <c r="R156" s="28" t="n"/>
      <c r="S156" s="28" t="n"/>
      <c r="T156" s="32" t="n"/>
    </row>
    <row r="157" ht="30" customFormat="1" customHeight="1" s="5">
      <c r="A157" s="17" t="n">
        <v>155</v>
      </c>
      <c r="B157" s="17" t="inlineStr">
        <is>
          <t>KIPP11</t>
        </is>
      </c>
      <c r="C157" s="2" t="inlineStr">
        <is>
          <t>11LBB00CP101</t>
        </is>
      </c>
      <c r="D157" s="14" t="inlineStr">
        <is>
          <t>HOT REHEAT STEAM PT</t>
        </is>
      </c>
      <c r="E157" s="37" t="n">
        <v>46098</v>
      </c>
      <c r="F157" s="103" t="n">
        <v>-1</v>
      </c>
      <c r="G157" s="103" t="n">
        <v>100</v>
      </c>
      <c r="H157" s="103" t="n">
        <v>0</v>
      </c>
      <c r="I157" s="103" t="n">
        <v>50</v>
      </c>
      <c r="J157" s="4" t="inlineStr">
        <is>
          <t>Bar</t>
        </is>
      </c>
      <c r="K157" s="19" t="inlineStr">
        <is>
          <t>YOKOGAWA</t>
        </is>
      </c>
      <c r="L157" s="19" t="inlineStr">
        <is>
          <t>EJA530E</t>
        </is>
      </c>
      <c r="M157" s="19" t="inlineStr">
        <is>
          <t>91S313213</t>
        </is>
      </c>
      <c r="N157" s="2">
        <f>IF(E157="","Waiting","Calibrated")</f>
        <v/>
      </c>
      <c r="O157" s="2" t="n"/>
      <c r="P157" s="2" t="n"/>
      <c r="Q157" s="2" t="n"/>
      <c r="R157" s="28" t="n"/>
      <c r="S157" s="28" t="n"/>
      <c r="T157" s="32" t="n"/>
    </row>
    <row r="158" ht="30" customFormat="1" customHeight="1" s="5">
      <c r="A158" s="17" t="n">
        <v>156</v>
      </c>
      <c r="B158" s="17" t="inlineStr">
        <is>
          <t>KIPP11</t>
        </is>
      </c>
      <c r="C158" s="2" t="inlineStr">
        <is>
          <t>11LBB20CP101</t>
        </is>
      </c>
      <c r="D158" s="14" t="inlineStr">
        <is>
          <t>HOT REHEAT STEAM BYPASS VALVE OUTLET PT</t>
        </is>
      </c>
      <c r="E158" s="37" t="n">
        <v>46104</v>
      </c>
      <c r="F158" s="103" t="n">
        <v>-1</v>
      </c>
      <c r="G158" s="103" t="n">
        <v>20</v>
      </c>
      <c r="H158" s="103" t="n">
        <v>0</v>
      </c>
      <c r="I158" s="103" t="n">
        <v>13</v>
      </c>
      <c r="J158" s="4" t="inlineStr">
        <is>
          <t>Bar</t>
        </is>
      </c>
      <c r="K158" s="19" t="inlineStr">
        <is>
          <t>YOKOGAWA</t>
        </is>
      </c>
      <c r="L158" s="19" t="inlineStr">
        <is>
          <t>EJA530E</t>
        </is>
      </c>
      <c r="M158" s="19" t="inlineStr">
        <is>
          <t>91S313222</t>
        </is>
      </c>
      <c r="N158" s="2">
        <f>IF(E158="","Waiting","Calibrated")</f>
        <v/>
      </c>
      <c r="O158" s="2" t="n"/>
      <c r="P158" s="2" t="n"/>
      <c r="Q158" s="2" t="n"/>
      <c r="R158" s="28" t="n"/>
      <c r="S158" s="28" t="n"/>
      <c r="T158" s="32" t="n"/>
    </row>
    <row r="159" ht="30" customFormat="1" customHeight="1" s="5">
      <c r="A159" s="17" t="n">
        <v>157</v>
      </c>
      <c r="B159" s="17" t="inlineStr">
        <is>
          <t>KIPP11</t>
        </is>
      </c>
      <c r="C159" s="2" t="inlineStr">
        <is>
          <t>11LBB20CP102</t>
        </is>
      </c>
      <c r="D159" s="14" t="inlineStr">
        <is>
          <t>HOT REHEAT STEAM BYPASS VALVE OUTLET PT</t>
        </is>
      </c>
      <c r="E159" s="37" t="n">
        <v>46104</v>
      </c>
      <c r="F159" s="103" t="n">
        <v>-1</v>
      </c>
      <c r="G159" s="103" t="n">
        <v>20</v>
      </c>
      <c r="H159" s="103" t="n">
        <v>0</v>
      </c>
      <c r="I159" s="103" t="n">
        <v>13</v>
      </c>
      <c r="J159" s="4" t="inlineStr">
        <is>
          <t>Bar</t>
        </is>
      </c>
      <c r="K159" s="19" t="inlineStr">
        <is>
          <t>YOKOGAWA</t>
        </is>
      </c>
      <c r="L159" s="19" t="inlineStr">
        <is>
          <t>EJA530E</t>
        </is>
      </c>
      <c r="M159" s="19" t="inlineStr">
        <is>
          <t>91S313223</t>
        </is>
      </c>
      <c r="N159" s="2">
        <f>IF(E159="","Waiting","Calibrated")</f>
        <v/>
      </c>
      <c r="O159" s="2" t="n"/>
      <c r="P159" s="2" t="inlineStr">
        <is>
          <t>ZM06</t>
        </is>
      </c>
      <c r="Q159" s="2" t="n"/>
      <c r="R159" s="28" t="n"/>
      <c r="S159" s="28" t="n"/>
      <c r="T159" s="32" t="n"/>
    </row>
    <row r="160" ht="30" customFormat="1" customHeight="1" s="5">
      <c r="A160" s="17" t="n">
        <v>158</v>
      </c>
      <c r="B160" s="17" t="inlineStr">
        <is>
          <t>KIPP11</t>
        </is>
      </c>
      <c r="C160" s="2" t="inlineStr">
        <is>
          <t>11LBB40CP001</t>
        </is>
      </c>
      <c r="D160" s="14" t="inlineStr">
        <is>
          <t>HOT REHEAT STEAM PT</t>
        </is>
      </c>
      <c r="E160" s="37" t="n">
        <v>46114</v>
      </c>
      <c r="F160" s="103" t="n">
        <v>-1.01</v>
      </c>
      <c r="G160" s="103" t="n">
        <v>275.79</v>
      </c>
      <c r="H160" s="103" t="n">
        <v>0</v>
      </c>
      <c r="I160" s="103" t="n">
        <v>50</v>
      </c>
      <c r="J160" s="4" t="inlineStr">
        <is>
          <t>Bar</t>
        </is>
      </c>
      <c r="K160" s="19" t="inlineStr">
        <is>
          <t>ROSEMOUNT</t>
        </is>
      </c>
      <c r="L160" s="19" t="inlineStr">
        <is>
          <t>2051 PT</t>
        </is>
      </c>
      <c r="M160" s="20" t="n">
        <v>210432</v>
      </c>
      <c r="N160" s="2">
        <f>IF(E160="","Waiting","Calibrated")</f>
        <v/>
      </c>
      <c r="O160" s="2" t="n"/>
      <c r="P160" s="2" t="inlineStr">
        <is>
          <t>ZM06</t>
        </is>
      </c>
      <c r="Q160" s="2" t="n"/>
      <c r="R160" s="28" t="n"/>
      <c r="S160" s="28" t="inlineStr">
        <is>
          <t>11LBA30GH101</t>
        </is>
      </c>
      <c r="T160" s="32" t="n"/>
    </row>
    <row r="161" ht="30" customFormat="1" customHeight="1" s="5">
      <c r="A161" s="17" t="n">
        <v>159</v>
      </c>
      <c r="B161" s="17" t="inlineStr">
        <is>
          <t>KIPP11</t>
        </is>
      </c>
      <c r="C161" s="2" t="inlineStr">
        <is>
          <t>11LBC00CF101</t>
        </is>
      </c>
      <c r="D161" s="14" t="inlineStr">
        <is>
          <t>COLD REHEAT STEAM FLOW A</t>
        </is>
      </c>
      <c r="E161" s="37" t="n">
        <v>46114</v>
      </c>
      <c r="F161" s="103" t="n">
        <v>-10197.2</v>
      </c>
      <c r="G161" s="103" t="n">
        <v>10197.2</v>
      </c>
      <c r="H161" s="103" t="n">
        <v>0</v>
      </c>
      <c r="I161" s="103" t="n">
        <v>4756.2</v>
      </c>
      <c r="J161" s="4" t="inlineStr">
        <is>
          <t>mmH2O</t>
        </is>
      </c>
      <c r="K161" s="19" t="inlineStr">
        <is>
          <t>YOKOGAWA</t>
        </is>
      </c>
      <c r="L161" s="19" t="inlineStr">
        <is>
          <t>EJA110E</t>
        </is>
      </c>
      <c r="M161" s="19" t="inlineStr">
        <is>
          <t>91S313071</t>
        </is>
      </c>
      <c r="N161" s="2">
        <f>IF(E161="","Waiting","Calibrated")</f>
        <v/>
      </c>
      <c r="O161" s="2" t="n"/>
      <c r="P161" s="2" t="inlineStr">
        <is>
          <t>ZM06</t>
        </is>
      </c>
      <c r="Q161" s="2" t="n"/>
      <c r="R161" s="28" t="n"/>
      <c r="S161" s="28" t="inlineStr">
        <is>
          <t>11LBC00GH101</t>
        </is>
      </c>
      <c r="T161" s="32" t="n"/>
    </row>
    <row r="162" ht="30" customFormat="1" customHeight="1" s="5">
      <c r="A162" s="17" t="n">
        <v>160</v>
      </c>
      <c r="B162" s="17" t="inlineStr">
        <is>
          <t>KIPP11</t>
        </is>
      </c>
      <c r="C162" s="2" t="inlineStr">
        <is>
          <t>11LBC00CF102</t>
        </is>
      </c>
      <c r="D162" s="14" t="inlineStr">
        <is>
          <t>COLD REHEAT STEAM FLOW B</t>
        </is>
      </c>
      <c r="E162" s="37" t="n">
        <v>46114</v>
      </c>
      <c r="F162" s="103" t="n">
        <v>-10197.2</v>
      </c>
      <c r="G162" s="103" t="n">
        <v>10197.2</v>
      </c>
      <c r="H162" s="103" t="n">
        <v>0</v>
      </c>
      <c r="I162" s="103" t="n">
        <v>4756.2</v>
      </c>
      <c r="J162" s="4" t="inlineStr">
        <is>
          <t>mmH2O</t>
        </is>
      </c>
      <c r="K162" s="19" t="inlineStr">
        <is>
          <t>YOKOGAWA</t>
        </is>
      </c>
      <c r="L162" s="19" t="inlineStr">
        <is>
          <t>EJA110E</t>
        </is>
      </c>
      <c r="M162" s="19" t="inlineStr">
        <is>
          <t>91S313072</t>
        </is>
      </c>
      <c r="N162" s="2">
        <f>IF(E162="","Waiting","Calibrated")</f>
        <v/>
      </c>
      <c r="O162" s="2" t="n"/>
      <c r="P162" s="2" t="inlineStr">
        <is>
          <t>ZM06</t>
        </is>
      </c>
      <c r="Q162" s="2" t="n"/>
      <c r="R162" s="28" t="n"/>
      <c r="S162" s="28" t="inlineStr">
        <is>
          <t>11LBC00GH101</t>
        </is>
      </c>
      <c r="T162" s="32" t="n"/>
    </row>
    <row r="163" ht="30" customFormat="1" customHeight="1" s="5">
      <c r="A163" s="17" t="n">
        <v>161</v>
      </c>
      <c r="B163" s="17" t="inlineStr">
        <is>
          <t>KIPP11</t>
        </is>
      </c>
      <c r="C163" s="2" t="inlineStr">
        <is>
          <t>11LBC00CP101</t>
        </is>
      </c>
      <c r="D163" s="14" t="inlineStr">
        <is>
          <t>COLD REHEAT STEAM PRESSURE</t>
        </is>
      </c>
      <c r="E163" s="37" t="n">
        <v>46114</v>
      </c>
      <c r="F163" s="103" t="n">
        <v>-1</v>
      </c>
      <c r="G163" s="103" t="n">
        <v>100</v>
      </c>
      <c r="H163" s="103" t="n">
        <v>0</v>
      </c>
      <c r="I163" s="103" t="n">
        <v>43</v>
      </c>
      <c r="J163" s="4" t="inlineStr">
        <is>
          <t>Bar</t>
        </is>
      </c>
      <c r="K163" s="19" t="inlineStr">
        <is>
          <t>YOKOGAWA</t>
        </is>
      </c>
      <c r="L163" s="19" t="inlineStr">
        <is>
          <t>EJA530E</t>
        </is>
      </c>
      <c r="M163" s="19" t="inlineStr">
        <is>
          <t>91S313287</t>
        </is>
      </c>
      <c r="N163" s="2">
        <f>IF(E163="","Waiting","Calibrated")</f>
        <v/>
      </c>
      <c r="O163" s="2" t="n"/>
      <c r="P163" s="2" t="inlineStr">
        <is>
          <t>ZM06</t>
        </is>
      </c>
      <c r="Q163" s="2" t="n"/>
      <c r="R163" s="28" t="n"/>
      <c r="S163" s="28" t="inlineStr">
        <is>
          <t>11LBC00GH101</t>
        </is>
      </c>
      <c r="T163" s="32" t="n"/>
    </row>
    <row r="164" ht="30" customFormat="1" customHeight="1" s="5">
      <c r="A164" s="17" t="n">
        <v>162</v>
      </c>
      <c r="B164" s="17" t="inlineStr">
        <is>
          <t>KIPP11</t>
        </is>
      </c>
      <c r="C164" s="2" t="inlineStr">
        <is>
          <t>11LBC30CP001</t>
        </is>
      </c>
      <c r="D164" s="14" t="inlineStr">
        <is>
          <t>COLD REHEAT STEAM PT</t>
        </is>
      </c>
      <c r="E164" s="107" t="n">
        <v>46118</v>
      </c>
      <c r="F164" s="103" t="n">
        <v>-1.01</v>
      </c>
      <c r="G164" s="103" t="n">
        <v>275.79</v>
      </c>
      <c r="H164" s="103" t="n">
        <v>0</v>
      </c>
      <c r="I164" s="103" t="n">
        <v>60</v>
      </c>
      <c r="J164" s="4" t="inlineStr">
        <is>
          <t>Bar</t>
        </is>
      </c>
      <c r="K164" s="19" t="inlineStr">
        <is>
          <t>ROSEMOUNT</t>
        </is>
      </c>
      <c r="L164" s="19" t="inlineStr">
        <is>
          <t>2051 PT</t>
        </is>
      </c>
      <c r="M164" s="20" t="n">
        <v>210433</v>
      </c>
      <c r="N164" s="2">
        <f>IF(E164="","Waiting","Calibrated")</f>
        <v/>
      </c>
      <c r="O164" s="2" t="n"/>
      <c r="P164" s="2" t="inlineStr">
        <is>
          <t>ZM06</t>
        </is>
      </c>
      <c r="Q164" s="2" t="n"/>
      <c r="R164" s="28" t="n"/>
      <c r="S164" s="28" t="inlineStr">
        <is>
          <t>11HAC58GH101</t>
        </is>
      </c>
      <c r="T164" s="32" t="n"/>
    </row>
    <row r="165" ht="30" customFormat="1" customHeight="1" s="5">
      <c r="A165" s="17" t="n">
        <v>163</v>
      </c>
      <c r="B165" s="17" t="inlineStr">
        <is>
          <t>KIPP11</t>
        </is>
      </c>
      <c r="C165" s="2" t="inlineStr">
        <is>
          <t>11LBG91CP001</t>
        </is>
      </c>
      <c r="D165" s="14" t="inlineStr">
        <is>
          <t>GT OTC OUT STEAM LINE PT-1</t>
        </is>
      </c>
      <c r="E165" s="37" t="n">
        <v>46114</v>
      </c>
      <c r="F165" s="103" t="n">
        <v>-1</v>
      </c>
      <c r="G165" s="103" t="n">
        <v>500</v>
      </c>
      <c r="H165" s="103" t="n">
        <v>0</v>
      </c>
      <c r="I165" s="103" t="n">
        <v>192</v>
      </c>
      <c r="J165" s="4" t="inlineStr">
        <is>
          <t>Bar</t>
        </is>
      </c>
      <c r="K165" s="19" t="inlineStr">
        <is>
          <t>YOKOGAWA</t>
        </is>
      </c>
      <c r="L165" s="19" t="inlineStr">
        <is>
          <t>EJA530E</t>
        </is>
      </c>
      <c r="M165" s="19" t="inlineStr">
        <is>
          <t>91S313324</t>
        </is>
      </c>
      <c r="N165" s="2">
        <f>IF(E165="","Waiting","Calibrated")</f>
        <v/>
      </c>
      <c r="O165" s="2" t="n"/>
      <c r="P165" s="2" t="inlineStr">
        <is>
          <t>ZM06</t>
        </is>
      </c>
      <c r="Q165" s="2" t="n"/>
      <c r="R165" s="28" t="n"/>
      <c r="S165" s="28" t="n"/>
      <c r="T165" s="32" t="n"/>
    </row>
    <row r="166" ht="30" customFormat="1" customHeight="1" s="5">
      <c r="A166" s="17" t="n">
        <v>164</v>
      </c>
      <c r="B166" s="17" t="inlineStr">
        <is>
          <t>KIPP11</t>
        </is>
      </c>
      <c r="C166" s="2" t="inlineStr">
        <is>
          <t>11LBG91CP002</t>
        </is>
      </c>
      <c r="D166" s="14" t="inlineStr">
        <is>
          <t>GT OTC OUT STEAM LINE PT-2</t>
        </is>
      </c>
      <c r="E166" s="37" t="n">
        <v>46114</v>
      </c>
      <c r="F166" s="103" t="n">
        <v>-1</v>
      </c>
      <c r="G166" s="103" t="n">
        <v>500</v>
      </c>
      <c r="H166" s="103" t="n">
        <v>0</v>
      </c>
      <c r="I166" s="103" t="n">
        <v>192</v>
      </c>
      <c r="J166" s="4" t="inlineStr">
        <is>
          <t>Bar</t>
        </is>
      </c>
      <c r="K166" s="19" t="inlineStr">
        <is>
          <t>YOKOGAWA</t>
        </is>
      </c>
      <c r="L166" s="19" t="inlineStr">
        <is>
          <t>EJA530E</t>
        </is>
      </c>
      <c r="M166" s="19" t="inlineStr">
        <is>
          <t>91S313326</t>
        </is>
      </c>
      <c r="N166" s="2">
        <f>IF(E166="","Waiting","Calibrated")</f>
        <v/>
      </c>
      <c r="O166" s="2" t="n"/>
      <c r="P166" s="2" t="inlineStr">
        <is>
          <t>ZM06</t>
        </is>
      </c>
      <c r="Q166" s="2" t="n"/>
      <c r="R166" s="28" t="n"/>
      <c r="S166" s="28" t="n"/>
      <c r="T166" s="32" t="n"/>
    </row>
    <row r="167" ht="30" customFormat="1" customHeight="1" s="5">
      <c r="A167" s="17" t="n">
        <v>165</v>
      </c>
      <c r="B167" s="17" t="inlineStr">
        <is>
          <t>KIPP11</t>
        </is>
      </c>
      <c r="C167" s="2" t="inlineStr">
        <is>
          <t>11LCA20CF101</t>
        </is>
      </c>
      <c r="D167" s="14" t="inlineStr">
        <is>
          <t>LP STEAM BYPASS SPRAYAY WATER FT</t>
        </is>
      </c>
      <c r="E167" s="37" t="n">
        <v>46097</v>
      </c>
      <c r="F167" s="103" t="n">
        <v>-10197.2</v>
      </c>
      <c r="G167" s="103" t="n">
        <v>10197.2</v>
      </c>
      <c r="H167" s="103" t="n">
        <v>0</v>
      </c>
      <c r="I167" s="103" t="n">
        <v>5000</v>
      </c>
      <c r="J167" s="4" t="inlineStr">
        <is>
          <t>mmH2O</t>
        </is>
      </c>
      <c r="K167" s="19" t="inlineStr">
        <is>
          <t>YOKOGAWA</t>
        </is>
      </c>
      <c r="L167" s="19" t="inlineStr">
        <is>
          <t>EJA110E</t>
        </is>
      </c>
      <c r="M167" s="19" t="inlineStr">
        <is>
          <t>91S313062</t>
        </is>
      </c>
      <c r="N167" s="2">
        <f>IF(E167="","Waiting","Calibrated")</f>
        <v/>
      </c>
      <c r="O167" s="2" t="n"/>
      <c r="P167" s="2" t="inlineStr">
        <is>
          <t>ZM06</t>
        </is>
      </c>
      <c r="Q167" s="2" t="n"/>
      <c r="R167" s="28" t="n"/>
      <c r="S167" s="28" t="n"/>
      <c r="T167" s="32" t="n"/>
    </row>
    <row r="168" ht="30" customFormat="1" customHeight="1" s="5">
      <c r="A168" s="17" t="n">
        <v>166</v>
      </c>
      <c r="B168" s="17" t="inlineStr">
        <is>
          <t>KIPP11</t>
        </is>
      </c>
      <c r="C168" s="2" t="inlineStr">
        <is>
          <t>11LCA21CF101</t>
        </is>
      </c>
      <c r="D168" s="14" t="inlineStr">
        <is>
          <t>HOT REHEAT STEAM BYPASS SPRAYAY WATER FT</t>
        </is>
      </c>
      <c r="E168" s="37" t="n">
        <v>46097</v>
      </c>
      <c r="F168" s="103" t="n">
        <v>-10197.2</v>
      </c>
      <c r="G168" s="103" t="n">
        <v>10197.2</v>
      </c>
      <c r="H168" s="103" t="n">
        <v>0</v>
      </c>
      <c r="I168" s="103" t="n">
        <v>5000</v>
      </c>
      <c r="J168" s="4" t="inlineStr">
        <is>
          <t>mmH2O</t>
        </is>
      </c>
      <c r="K168" s="19" t="inlineStr">
        <is>
          <t>YOKOGAWA</t>
        </is>
      </c>
      <c r="L168" s="19" t="inlineStr">
        <is>
          <t>EJA110E</t>
        </is>
      </c>
      <c r="M168" s="19" t="inlineStr">
        <is>
          <t>91S313060</t>
        </is>
      </c>
      <c r="N168" s="2">
        <f>IF(E168="","Waiting","Calibrated")</f>
        <v/>
      </c>
      <c r="O168" s="2" t="n"/>
      <c r="P168" s="2" t="inlineStr">
        <is>
          <t>ZM06</t>
        </is>
      </c>
      <c r="Q168" s="2" t="n"/>
      <c r="R168" s="28" t="n"/>
      <c r="S168" s="28" t="n"/>
      <c r="T168" s="32" t="n"/>
    </row>
    <row r="169" ht="30" customFormat="1" customHeight="1" s="5">
      <c r="A169" s="17" t="n">
        <v>167</v>
      </c>
      <c r="B169" s="17" t="inlineStr">
        <is>
          <t>KIPP11</t>
        </is>
      </c>
      <c r="C169" s="2" t="inlineStr">
        <is>
          <t>11MBA30CP001</t>
        </is>
      </c>
      <c r="D169" s="14" t="inlineStr">
        <is>
          <t>PRESSURE MEASUREMENT EXHAUST DIFFUSER</t>
        </is>
      </c>
      <c r="E169" s="37" t="n">
        <v>46041</v>
      </c>
      <c r="F169" s="103" t="n">
        <v>0</v>
      </c>
      <c r="G169" s="103" t="n">
        <v>20.684</v>
      </c>
      <c r="H169" s="103" t="n">
        <v>0.8</v>
      </c>
      <c r="I169" s="103" t="n">
        <v>1.2</v>
      </c>
      <c r="J169" s="4" t="inlineStr">
        <is>
          <t>Bar</t>
        </is>
      </c>
      <c r="K169" s="19" t="inlineStr">
        <is>
          <t>ROSEMOUNT</t>
        </is>
      </c>
      <c r="L169" s="19" t="inlineStr">
        <is>
          <t>3051 PT</t>
        </is>
      </c>
      <c r="M169" s="19" t="n">
        <v>9824805</v>
      </c>
      <c r="N169" s="2">
        <f>IF(E169="","Waiting","Calibrated")</f>
        <v/>
      </c>
      <c r="O169" s="2" t="n"/>
      <c r="P169" s="2" t="inlineStr">
        <is>
          <t>ZM06</t>
        </is>
      </c>
      <c r="Q169" s="2" t="n"/>
      <c r="R169" s="28" t="n"/>
      <c r="S169" s="28" t="n"/>
      <c r="T169" s="32" t="n"/>
    </row>
    <row r="170" ht="30" customFormat="1" customHeight="1" s="5">
      <c r="A170" s="17" t="n">
        <v>168</v>
      </c>
      <c r="B170" s="17" t="inlineStr">
        <is>
          <t>KIPP11</t>
        </is>
      </c>
      <c r="C170" s="2" t="inlineStr">
        <is>
          <t>11MBA30CP003</t>
        </is>
      </c>
      <c r="D170" s="14" t="inlineStr">
        <is>
          <t>PRESSURE MEASUREMENT EXHAUST DIFFUSER</t>
        </is>
      </c>
      <c r="E170" s="37" t="n">
        <v>46041</v>
      </c>
      <c r="F170" s="103" t="n">
        <v>0</v>
      </c>
      <c r="G170" s="103" t="n">
        <v>20.684</v>
      </c>
      <c r="H170" s="103" t="n">
        <v>0.8</v>
      </c>
      <c r="I170" s="103" t="n">
        <v>1.2</v>
      </c>
      <c r="J170" s="4" t="inlineStr">
        <is>
          <t>Bar</t>
        </is>
      </c>
      <c r="K170" s="19" t="inlineStr">
        <is>
          <t>ROSEMOUNT</t>
        </is>
      </c>
      <c r="L170" s="19" t="inlineStr">
        <is>
          <t>3051 PT</t>
        </is>
      </c>
      <c r="M170" s="19" t="n">
        <v>9824806</v>
      </c>
      <c r="N170" s="2">
        <f>IF(E170="","Waiting","Calibrated")</f>
        <v/>
      </c>
      <c r="O170" s="2" t="n"/>
      <c r="P170" s="2" t="inlineStr">
        <is>
          <t>ZM06</t>
        </is>
      </c>
      <c r="Q170" s="2" t="n"/>
      <c r="R170" s="28" t="n"/>
      <c r="S170" s="28" t="n"/>
      <c r="T170" s="32" t="n"/>
    </row>
    <row r="171" ht="30" customFormat="1" customHeight="1" s="5">
      <c r="A171" s="17" t="n">
        <v>169</v>
      </c>
      <c r="B171" s="17" t="inlineStr">
        <is>
          <t>KIPP11</t>
        </is>
      </c>
      <c r="C171" s="2" t="inlineStr">
        <is>
          <t>11MBA30CP004</t>
        </is>
      </c>
      <c r="D171" s="14" t="inlineStr">
        <is>
          <t>PRESSURE MEASUREMENT EXHAUST DIFFUSER</t>
        </is>
      </c>
      <c r="E171" s="37" t="n">
        <v>46041</v>
      </c>
      <c r="F171" s="103" t="n">
        <v>0</v>
      </c>
      <c r="G171" s="103" t="n">
        <v>20.684</v>
      </c>
      <c r="H171" s="103" t="n">
        <v>0.8</v>
      </c>
      <c r="I171" s="103" t="n">
        <v>1.2</v>
      </c>
      <c r="J171" s="4" t="inlineStr">
        <is>
          <t>Bar</t>
        </is>
      </c>
      <c r="K171" s="19" t="inlineStr">
        <is>
          <t>ROSEMOUNT</t>
        </is>
      </c>
      <c r="L171" s="19" t="inlineStr">
        <is>
          <t>3051 PT</t>
        </is>
      </c>
      <c r="M171" s="19" t="n">
        <v>9824807</v>
      </c>
      <c r="N171" s="2">
        <f>IF(E171="","Waiting","Calibrated")</f>
        <v/>
      </c>
      <c r="O171" s="2" t="n"/>
      <c r="P171" s="2" t="inlineStr">
        <is>
          <t>ZM06</t>
        </is>
      </c>
      <c r="Q171" s="2" t="n"/>
      <c r="R171" s="28" t="n"/>
      <c r="S171" s="28" t="n"/>
      <c r="T171" s="32" t="n"/>
    </row>
    <row r="172" ht="30" customFormat="1" customHeight="1" s="5">
      <c r="A172" s="17" t="n">
        <v>170</v>
      </c>
      <c r="B172" s="17" t="inlineStr">
        <is>
          <t>KIPP11</t>
        </is>
      </c>
      <c r="C172" s="2" t="inlineStr">
        <is>
          <t>11MBA80CP051</t>
        </is>
      </c>
      <c r="D172" s="14" t="inlineStr">
        <is>
          <t>GT AFT COMPRESSOR 1H PT</t>
        </is>
      </c>
      <c r="E172" s="37" t="n">
        <v>46041</v>
      </c>
      <c r="F172" s="103" t="n">
        <v>-137.89</v>
      </c>
      <c r="G172" s="103" t="n">
        <v>137.89</v>
      </c>
      <c r="H172" s="103" t="n">
        <v>0</v>
      </c>
      <c r="I172" s="103" t="n">
        <v>40</v>
      </c>
      <c r="J172" s="4" t="inlineStr">
        <is>
          <t>Bar</t>
        </is>
      </c>
      <c r="K172" s="19" t="inlineStr">
        <is>
          <t>ROSEMOUNT</t>
        </is>
      </c>
      <c r="L172" s="19" t="inlineStr">
        <is>
          <t>3051CG</t>
        </is>
      </c>
      <c r="M172" s="20" t="n">
        <v>9825256</v>
      </c>
      <c r="N172" s="2">
        <f>IF(E172="","Waiting","Calibrated")</f>
        <v/>
      </c>
      <c r="O172" s="2" t="n"/>
      <c r="P172" s="2" t="inlineStr">
        <is>
          <t>ZM06</t>
        </is>
      </c>
      <c r="Q172" s="2" t="n"/>
      <c r="R172" s="28" t="n"/>
      <c r="S172" s="28" t="n"/>
      <c r="T172" s="32" t="n"/>
    </row>
    <row r="173" ht="30" customFormat="1" customHeight="1" s="5">
      <c r="A173" s="17" t="n">
        <v>171</v>
      </c>
      <c r="B173" s="17" t="inlineStr">
        <is>
          <t>KIPP11</t>
        </is>
      </c>
      <c r="C173" s="2" t="inlineStr">
        <is>
          <t>11MBA80CP052</t>
        </is>
      </c>
      <c r="D173" s="14" t="inlineStr">
        <is>
          <t>GT AFT COMPRESSOR 4H PT</t>
        </is>
      </c>
      <c r="E173" s="37" t="n">
        <v>46041</v>
      </c>
      <c r="F173" s="103" t="n">
        <v>-137.89</v>
      </c>
      <c r="G173" s="103" t="n">
        <v>137.89</v>
      </c>
      <c r="H173" s="103" t="n">
        <v>0</v>
      </c>
      <c r="I173" s="103" t="n">
        <v>40</v>
      </c>
      <c r="J173" s="4" t="inlineStr">
        <is>
          <t>Bar</t>
        </is>
      </c>
      <c r="K173" s="19" t="inlineStr">
        <is>
          <t>ROSEMOUNT</t>
        </is>
      </c>
      <c r="L173" s="19" t="inlineStr">
        <is>
          <t>3051CG</t>
        </is>
      </c>
      <c r="M173" s="20" t="n">
        <v>9825257</v>
      </c>
      <c r="N173" s="2">
        <f>IF(E173="","Waiting","Calibrated")</f>
        <v/>
      </c>
      <c r="O173" s="2" t="n"/>
      <c r="P173" s="2" t="inlineStr">
        <is>
          <t>ZM06</t>
        </is>
      </c>
      <c r="Q173" s="2" t="n"/>
      <c r="R173" s="28" t="n"/>
      <c r="S173" s="28" t="n"/>
      <c r="T173" s="32" t="n"/>
    </row>
    <row r="174" ht="30" customFormat="1" customHeight="1" s="5">
      <c r="A174" s="17" t="n">
        <v>172</v>
      </c>
      <c r="B174" s="17" t="inlineStr">
        <is>
          <t>KIPP11</t>
        </is>
      </c>
      <c r="C174" s="2" t="inlineStr">
        <is>
          <t>11MBA80CP054</t>
        </is>
      </c>
      <c r="D174" s="14" t="inlineStr">
        <is>
          <t>P AFT COMPRESSOR 8H PT</t>
        </is>
      </c>
      <c r="E174" s="37" t="n">
        <v>46041</v>
      </c>
      <c r="F174" s="103" t="n">
        <v>-137.89</v>
      </c>
      <c r="G174" s="103" t="n">
        <v>137.89</v>
      </c>
      <c r="H174" s="103" t="inlineStr">
        <is>
          <t>0</t>
        </is>
      </c>
      <c r="I174" s="103" t="inlineStr">
        <is>
          <t>40</t>
        </is>
      </c>
      <c r="J174" s="4" t="inlineStr">
        <is>
          <t>Bar</t>
        </is>
      </c>
      <c r="K174" s="19" t="inlineStr">
        <is>
          <t>ROSEMOUNT</t>
        </is>
      </c>
      <c r="L174" s="19" t="inlineStr">
        <is>
          <t>3051CD</t>
        </is>
      </c>
      <c r="M174" s="20" t="n">
        <v>9825258</v>
      </c>
      <c r="N174" s="2">
        <f>IF(E174="","Waiting","Calibrated")</f>
        <v/>
      </c>
      <c r="O174" s="2" t="n"/>
      <c r="P174" s="2" t="inlineStr">
        <is>
          <t>ZM06</t>
        </is>
      </c>
      <c r="Q174" s="2" t="n"/>
      <c r="R174" s="28" t="n"/>
      <c r="S174" s="28" t="n"/>
      <c r="T174" s="32" t="n"/>
    </row>
    <row r="175" ht="30" customFormat="1" customHeight="1" s="5">
      <c r="A175" s="17" t="n">
        <v>173</v>
      </c>
      <c r="B175" s="17" t="inlineStr">
        <is>
          <t>KIPP11</t>
        </is>
      </c>
      <c r="C175" s="2" t="inlineStr">
        <is>
          <t>11MBE41CP013</t>
        </is>
      </c>
      <c r="D175" s="14" t="inlineStr">
        <is>
          <t>GT H/F WATER PUMP SUCTION FILTER PDT</t>
        </is>
      </c>
      <c r="E175" s="37" t="n"/>
      <c r="F175" s="103" t="n">
        <v>0</v>
      </c>
      <c r="G175" s="103" t="n">
        <v>0</v>
      </c>
      <c r="H175" s="103" t="n">
        <v>-1000</v>
      </c>
      <c r="I175" s="103" t="n">
        <v>2200</v>
      </c>
      <c r="J175" s="4" t="inlineStr">
        <is>
          <t>mBar</t>
        </is>
      </c>
      <c r="K175" s="33" t="inlineStr">
        <is>
          <t>ROSEMOUNT</t>
        </is>
      </c>
      <c r="L175" s="33" t="inlineStr">
        <is>
          <t>2088TG</t>
        </is>
      </c>
      <c r="M175" s="20" t="n">
        <v>2753518</v>
      </c>
      <c r="N175" s="2">
        <f>IF(E175="","Waiting","Calibrated")</f>
        <v/>
      </c>
      <c r="O175" s="2" t="n"/>
      <c r="P175" s="2" t="inlineStr">
        <is>
          <t>ZM06</t>
        </is>
      </c>
      <c r="Q175" s="2" t="n"/>
      <c r="R175" s="28" t="n"/>
      <c r="S175" s="28" t="n"/>
      <c r="T175" s="32" t="n"/>
    </row>
    <row r="176" ht="30" customFormat="1" customHeight="1" s="5">
      <c r="A176" s="17" t="n">
        <v>174</v>
      </c>
      <c r="B176" s="17" t="inlineStr">
        <is>
          <t>KIPP11</t>
        </is>
      </c>
      <c r="C176" s="2" t="inlineStr">
        <is>
          <t>11MBE41CP121</t>
        </is>
      </c>
      <c r="D176" s="14" t="inlineStr">
        <is>
          <t>GT H/F WATER PUMP-1 SUCTION PT</t>
        </is>
      </c>
      <c r="E176" s="37" t="n"/>
      <c r="F176" s="103" t="n">
        <v>-14.7</v>
      </c>
      <c r="G176" s="103" t="n">
        <v>800</v>
      </c>
      <c r="H176" s="103" t="n">
        <v>-14.7</v>
      </c>
      <c r="I176" s="103" t="n">
        <v>150</v>
      </c>
      <c r="J176" s="4" t="inlineStr">
        <is>
          <t>psi</t>
        </is>
      </c>
      <c r="K176" s="33" t="inlineStr">
        <is>
          <t>ROSEMOUNT</t>
        </is>
      </c>
      <c r="L176" s="33" t="inlineStr">
        <is>
          <t>2051TG</t>
        </is>
      </c>
      <c r="M176" s="20" t="n">
        <v>210595</v>
      </c>
      <c r="N176" s="2">
        <f>IF(E176="","Waiting","Calibrated")</f>
        <v/>
      </c>
      <c r="O176" s="2" t="n"/>
      <c r="P176" s="2" t="inlineStr">
        <is>
          <t>ZM06</t>
        </is>
      </c>
      <c r="Q176" s="2" t="n"/>
      <c r="R176" s="28" t="n"/>
      <c r="S176" s="28" t="n"/>
      <c r="T176" s="32" t="n"/>
    </row>
    <row r="177" ht="30" customFormat="1" customHeight="1" s="5">
      <c r="A177" s="17" t="n">
        <v>175</v>
      </c>
      <c r="B177" s="17" t="inlineStr">
        <is>
          <t>KIPP11</t>
        </is>
      </c>
      <c r="C177" s="2" t="inlineStr">
        <is>
          <t>11MBE41CP122</t>
        </is>
      </c>
      <c r="D177" s="14" t="inlineStr">
        <is>
          <t>GT H/F WATER PUMP-2 SUCTION PT</t>
        </is>
      </c>
      <c r="E177" s="37" t="n"/>
      <c r="F177" s="103" t="n">
        <v>-14.7</v>
      </c>
      <c r="G177" s="103" t="n">
        <v>4000</v>
      </c>
      <c r="H177" s="103" t="n">
        <v>-14.7</v>
      </c>
      <c r="I177" s="103" t="n">
        <v>150</v>
      </c>
      <c r="J177" s="4" t="inlineStr">
        <is>
          <t>psi</t>
        </is>
      </c>
      <c r="K177" s="33" t="inlineStr">
        <is>
          <t>ROSEMOUNT</t>
        </is>
      </c>
      <c r="L177" s="33" t="inlineStr">
        <is>
          <t>2051TG</t>
        </is>
      </c>
      <c r="M177" s="20" t="n">
        <v>210445</v>
      </c>
      <c r="N177" s="2">
        <f>IF(E177="","Waiting","Calibrated")</f>
        <v/>
      </c>
      <c r="O177" s="2" t="n"/>
      <c r="P177" s="2" t="inlineStr">
        <is>
          <t>ZM06</t>
        </is>
      </c>
      <c r="Q177" s="2" t="n"/>
      <c r="R177" s="28" t="n"/>
      <c r="S177" s="28" t="n"/>
      <c r="T177" s="32" t="n"/>
    </row>
    <row r="178" ht="30" customFormat="1" customHeight="1" s="5">
      <c r="A178" s="17" t="n">
        <v>176</v>
      </c>
      <c r="B178" s="17" t="inlineStr">
        <is>
          <t>KIPP11</t>
        </is>
      </c>
      <c r="C178" s="2" t="inlineStr">
        <is>
          <t>11MBE41CP123</t>
        </is>
      </c>
      <c r="D178" s="14" t="inlineStr">
        <is>
          <t>GT H/F WATER PUMP-3 SUCTION PT</t>
        </is>
      </c>
      <c r="E178" s="37" t="n"/>
      <c r="F178" s="103" t="n">
        <v>-14.7</v>
      </c>
      <c r="G178" s="103" t="n">
        <v>800</v>
      </c>
      <c r="H178" s="103" t="n">
        <v>-14.7</v>
      </c>
      <c r="I178" s="103" t="n">
        <v>150</v>
      </c>
      <c r="J178" s="4" t="inlineStr">
        <is>
          <t>psi</t>
        </is>
      </c>
      <c r="K178" s="33" t="inlineStr">
        <is>
          <t>ROSEMOUNT</t>
        </is>
      </c>
      <c r="L178" s="33" t="inlineStr">
        <is>
          <t>2051TG</t>
        </is>
      </c>
      <c r="M178" s="20" t="n">
        <v>210429</v>
      </c>
      <c r="N178" s="2">
        <f>IF(E178="","Waiting","Calibrated")</f>
        <v/>
      </c>
      <c r="O178" s="2" t="n"/>
      <c r="P178" s="2" t="inlineStr">
        <is>
          <t>ZM06</t>
        </is>
      </c>
      <c r="Q178" s="2" t="n"/>
      <c r="R178" s="28" t="n"/>
      <c r="S178" s="28" t="n"/>
      <c r="T178" s="32" t="n"/>
    </row>
    <row r="179" ht="30" customFormat="1" customHeight="1" s="5">
      <c r="A179" s="17" t="n">
        <v>177</v>
      </c>
      <c r="B179" s="17" t="inlineStr">
        <is>
          <t>KIPP11</t>
        </is>
      </c>
      <c r="C179" s="2" t="inlineStr">
        <is>
          <t>11MBE41CP124</t>
        </is>
      </c>
      <c r="D179" s="14" t="inlineStr">
        <is>
          <t>GT H/F WATER PUMP-4 SUCTION PT</t>
        </is>
      </c>
      <c r="E179" s="37" t="n"/>
      <c r="F179" s="103" t="n">
        <v>-14.7</v>
      </c>
      <c r="G179" s="103" t="n">
        <v>4000</v>
      </c>
      <c r="H179" s="103" t="n">
        <v>-14.7</v>
      </c>
      <c r="I179" s="103" t="n">
        <v>150</v>
      </c>
      <c r="J179" s="4" t="inlineStr">
        <is>
          <t>psi</t>
        </is>
      </c>
      <c r="K179" s="33" t="inlineStr">
        <is>
          <t>ROSEMOUNT</t>
        </is>
      </c>
      <c r="L179" s="33" t="inlineStr">
        <is>
          <t>2051TG</t>
        </is>
      </c>
      <c r="M179" s="20" t="n">
        <v>210446</v>
      </c>
      <c r="N179" s="2">
        <f>IF(E179="","Waiting","Calibrated")</f>
        <v/>
      </c>
      <c r="O179" s="2" t="n"/>
      <c r="P179" s="2" t="inlineStr">
        <is>
          <t>ZM06</t>
        </is>
      </c>
      <c r="Q179" s="2" t="n"/>
      <c r="R179" s="28" t="n"/>
      <c r="S179" s="28" t="n"/>
      <c r="T179" s="32" t="n"/>
    </row>
    <row r="180" ht="30" customFormat="1" customHeight="1" s="5">
      <c r="A180" s="17" t="n">
        <v>178</v>
      </c>
      <c r="B180" s="17" t="inlineStr">
        <is>
          <t>KIPP11</t>
        </is>
      </c>
      <c r="C180" s="2" t="inlineStr">
        <is>
          <t>11MBE41CP141</t>
        </is>
      </c>
      <c r="D180" s="14" t="inlineStr">
        <is>
          <t>GT H/F WATER PUMP-1 DISCHARGE PT</t>
        </is>
      </c>
      <c r="E180" s="37" t="n"/>
      <c r="F180" s="103" t="n">
        <v>0</v>
      </c>
      <c r="G180" s="103" t="n">
        <v>4000</v>
      </c>
      <c r="H180" s="103" t="n">
        <v>-14.7</v>
      </c>
      <c r="I180" s="103" t="n">
        <v>4000</v>
      </c>
      <c r="J180" s="4" t="inlineStr">
        <is>
          <t>psi</t>
        </is>
      </c>
      <c r="K180" s="33" t="inlineStr">
        <is>
          <t>ROSEMOUNT</t>
        </is>
      </c>
      <c r="L180" s="33" t="inlineStr">
        <is>
          <t>2088TG</t>
        </is>
      </c>
      <c r="M180" s="20" t="n">
        <v>631493</v>
      </c>
      <c r="N180" s="2">
        <f>IF(E180="","Waiting","Calibrated")</f>
        <v/>
      </c>
      <c r="O180" s="2" t="n"/>
      <c r="P180" s="2" t="inlineStr">
        <is>
          <t>ZM06</t>
        </is>
      </c>
      <c r="Q180" s="2" t="n"/>
      <c r="R180" s="28" t="n"/>
      <c r="S180" s="28" t="n"/>
      <c r="T180" s="32" t="n"/>
    </row>
    <row r="181" ht="30" customFormat="1" customHeight="1" s="5">
      <c r="A181" s="17" t="n">
        <v>179</v>
      </c>
      <c r="B181" s="17" t="inlineStr">
        <is>
          <t>KIPP11</t>
        </is>
      </c>
      <c r="C181" s="2" t="inlineStr">
        <is>
          <t>11MBE41CP142</t>
        </is>
      </c>
      <c r="D181" s="14" t="inlineStr">
        <is>
          <t>GT H/F WATER PUMP-2 DISCHARGE PT</t>
        </is>
      </c>
      <c r="E181" s="37" t="n"/>
      <c r="F181" s="103" t="n">
        <v>-14.7</v>
      </c>
      <c r="G181" s="103" t="n">
        <v>4000</v>
      </c>
      <c r="H181" s="103" t="n">
        <v>-14.7</v>
      </c>
      <c r="I181" s="103" t="n">
        <v>4000</v>
      </c>
      <c r="J181" s="4" t="inlineStr">
        <is>
          <t>psi</t>
        </is>
      </c>
      <c r="K181" s="33" t="inlineStr">
        <is>
          <t>ROSEMOUNT</t>
        </is>
      </c>
      <c r="L181" s="33" t="inlineStr">
        <is>
          <t>2088TG</t>
        </is>
      </c>
      <c r="M181" s="20" t="n">
        <v>607375</v>
      </c>
      <c r="N181" s="2">
        <f>IF(E181="","Waiting","Calibrated")</f>
        <v/>
      </c>
      <c r="O181" s="2" t="n"/>
      <c r="P181" s="2" t="inlineStr">
        <is>
          <t>ZM06</t>
        </is>
      </c>
      <c r="Q181" s="2" t="n"/>
      <c r="R181" s="28" t="n"/>
      <c r="S181" s="28" t="n"/>
      <c r="T181" s="32" t="n"/>
    </row>
    <row r="182" ht="30" customFormat="1" customHeight="1" s="5">
      <c r="A182" s="17" t="n">
        <v>180</v>
      </c>
      <c r="B182" s="17" t="inlineStr">
        <is>
          <t>KIPP11</t>
        </is>
      </c>
      <c r="C182" s="2" t="inlineStr">
        <is>
          <t>11MBE41CP143</t>
        </is>
      </c>
      <c r="D182" s="14" t="inlineStr">
        <is>
          <t>GT H/F WATER PUMP-3 DISCHARGE PT</t>
        </is>
      </c>
      <c r="E182" s="37" t="n"/>
      <c r="F182" s="103" t="n">
        <v>0</v>
      </c>
      <c r="G182" s="103" t="n">
        <v>4000</v>
      </c>
      <c r="H182" s="103" t="n">
        <v>-14.7</v>
      </c>
      <c r="I182" s="103" t="n">
        <v>4000</v>
      </c>
      <c r="J182" s="4" t="inlineStr">
        <is>
          <t>psi</t>
        </is>
      </c>
      <c r="K182" s="33" t="inlineStr">
        <is>
          <t>ROSEMOUNT</t>
        </is>
      </c>
      <c r="L182" s="33" t="inlineStr">
        <is>
          <t>2088TG</t>
        </is>
      </c>
      <c r="M182" s="20" t="n">
        <v>631492</v>
      </c>
      <c r="N182" s="2">
        <f>IF(E182="","Waiting","Calibrated")</f>
        <v/>
      </c>
      <c r="O182" s="2" t="n"/>
      <c r="P182" s="2" t="n"/>
      <c r="Q182" s="2" t="n"/>
      <c r="R182" s="28" t="n"/>
      <c r="S182" s="28" t="n"/>
      <c r="T182" s="32" t="n"/>
    </row>
    <row r="183" ht="30" customFormat="1" customHeight="1" s="5">
      <c r="A183" s="17" t="n">
        <v>181</v>
      </c>
      <c r="B183" s="17" t="inlineStr">
        <is>
          <t>KIPP11</t>
        </is>
      </c>
      <c r="C183" s="2" t="inlineStr">
        <is>
          <t>11MBE41CP144</t>
        </is>
      </c>
      <c r="D183" s="14" t="inlineStr">
        <is>
          <t>GT H/F WATER PUMP-4 DISCHARGE PT</t>
        </is>
      </c>
      <c r="E183" s="37" t="n"/>
      <c r="F183" s="103" t="n">
        <v>0</v>
      </c>
      <c r="G183" s="103" t="n">
        <v>4000</v>
      </c>
      <c r="H183" s="103" t="n">
        <v>-14.7</v>
      </c>
      <c r="I183" s="103" t="n">
        <v>4000</v>
      </c>
      <c r="J183" s="4" t="inlineStr">
        <is>
          <t>psi</t>
        </is>
      </c>
      <c r="K183" s="33" t="inlineStr">
        <is>
          <t>ROSEMOUNT</t>
        </is>
      </c>
      <c r="L183" s="33" t="inlineStr">
        <is>
          <t>2088TG</t>
        </is>
      </c>
      <c r="M183" s="20" t="n">
        <v>631494</v>
      </c>
      <c r="N183" s="2">
        <f>IF(E183="","Waiting","Calibrated")</f>
        <v/>
      </c>
      <c r="O183" s="2" t="n"/>
      <c r="P183" s="2" t="inlineStr">
        <is>
          <t>ZM06</t>
        </is>
      </c>
      <c r="Q183" s="2" t="n"/>
      <c r="R183" s="28" t="n"/>
      <c r="S183" s="28" t="n"/>
      <c r="T183" s="32" t="n"/>
    </row>
    <row r="184" ht="30" customFormat="1" customHeight="1" s="5">
      <c r="A184" s="17" t="n">
        <v>182</v>
      </c>
      <c r="B184" s="17" t="inlineStr">
        <is>
          <t>KIPP11</t>
        </is>
      </c>
      <c r="C184" s="2" t="inlineStr">
        <is>
          <t>11MBH20CP007</t>
        </is>
      </c>
      <c r="D184" s="14" t="inlineStr">
        <is>
          <t>GT CARR COOLING AIR PT</t>
        </is>
      </c>
      <c r="E184" s="37" t="n">
        <v>46041</v>
      </c>
      <c r="F184" s="103" t="n">
        <v>-137.89</v>
      </c>
      <c r="G184" s="103" t="n">
        <v>137.89</v>
      </c>
      <c r="H184" s="103" t="n">
        <v>0</v>
      </c>
      <c r="I184" s="103" t="n">
        <v>15</v>
      </c>
      <c r="J184" s="4" t="inlineStr">
        <is>
          <t>Bar</t>
        </is>
      </c>
      <c r="K184" s="19" t="inlineStr">
        <is>
          <t>ROSEMOUNT</t>
        </is>
      </c>
      <c r="L184" s="19" t="inlineStr">
        <is>
          <t>3051CG</t>
        </is>
      </c>
      <c r="M184" s="20" t="n">
        <v>9825262</v>
      </c>
      <c r="N184" s="2">
        <f>IF(E184="","Waiting","Calibrated")</f>
        <v/>
      </c>
      <c r="O184" s="2" t="n"/>
      <c r="P184" s="2" t="inlineStr">
        <is>
          <t>ZM06</t>
        </is>
      </c>
      <c r="Q184" s="2" t="n"/>
      <c r="R184" s="28" t="n"/>
      <c r="S184" s="28" t="n"/>
      <c r="T184" s="32" t="n"/>
    </row>
    <row r="185" ht="30" customFormat="1" customHeight="1" s="5">
      <c r="A185" s="17" t="n">
        <v>183</v>
      </c>
      <c r="B185" s="17" t="inlineStr">
        <is>
          <t>KIPP11</t>
        </is>
      </c>
      <c r="C185" s="2" t="inlineStr">
        <is>
          <t>11MBH20CP008</t>
        </is>
      </c>
      <c r="D185" s="14" t="inlineStr">
        <is>
          <t>GT CARR COOLING AIR PT</t>
        </is>
      </c>
      <c r="E185" s="37" t="n">
        <v>46041</v>
      </c>
      <c r="F185" s="103" t="n">
        <v>-137.89</v>
      </c>
      <c r="G185" s="103" t="n">
        <v>137.89</v>
      </c>
      <c r="H185" s="103" t="n">
        <v>0</v>
      </c>
      <c r="I185" s="103" t="n">
        <v>15</v>
      </c>
      <c r="J185" s="4" t="inlineStr">
        <is>
          <t>Bar</t>
        </is>
      </c>
      <c r="K185" s="19" t="inlineStr">
        <is>
          <t>ROSEMOUNT</t>
        </is>
      </c>
      <c r="L185" s="19" t="inlineStr">
        <is>
          <t>3051CG</t>
        </is>
      </c>
      <c r="M185" s="20" t="n">
        <v>9825263</v>
      </c>
      <c r="N185" s="2">
        <f>IF(E185="","Waiting","Calibrated")</f>
        <v/>
      </c>
      <c r="O185" s="2" t="n"/>
      <c r="P185" s="2" t="inlineStr">
        <is>
          <t>ZM06</t>
        </is>
      </c>
      <c r="Q185" s="2" t="n"/>
      <c r="R185" s="28" t="n"/>
      <c r="S185" s="28" t="n"/>
      <c r="T185" s="32" t="n"/>
    </row>
    <row r="186" ht="30" customFormat="1" customHeight="1" s="5">
      <c r="A186" s="17" t="n">
        <v>184</v>
      </c>
      <c r="B186" s="17" t="inlineStr">
        <is>
          <t>KIPP11</t>
        </is>
      </c>
      <c r="C186" s="2" t="inlineStr">
        <is>
          <t>11MBH20CP009</t>
        </is>
      </c>
      <c r="D186" s="14" t="inlineStr">
        <is>
          <t>GT CARR COOLING AIR PT</t>
        </is>
      </c>
      <c r="E186" s="37" t="n">
        <v>46041</v>
      </c>
      <c r="F186" s="103" t="n">
        <v>-137.89</v>
      </c>
      <c r="G186" s="103" t="n">
        <v>137.89</v>
      </c>
      <c r="H186" s="103" t="n">
        <v>0</v>
      </c>
      <c r="I186" s="103" t="n">
        <v>15</v>
      </c>
      <c r="J186" s="4" t="inlineStr">
        <is>
          <t>Bar</t>
        </is>
      </c>
      <c r="K186" s="19" t="inlineStr">
        <is>
          <t>ROSEMOUNT</t>
        </is>
      </c>
      <c r="L186" s="19" t="inlineStr">
        <is>
          <t>3051CG</t>
        </is>
      </c>
      <c r="M186" s="20" t="n">
        <v>9825264</v>
      </c>
      <c r="N186" s="2">
        <f>IF(E186="","Waiting","Calibrated")</f>
        <v/>
      </c>
      <c r="O186" s="2" t="n"/>
      <c r="P186" s="2" t="inlineStr">
        <is>
          <t>ZM06</t>
        </is>
      </c>
      <c r="Q186" s="2" t="n"/>
      <c r="R186" s="28" t="n"/>
      <c r="S186" s="28" t="n"/>
      <c r="T186" s="32" t="n"/>
    </row>
    <row r="187" ht="30" customFormat="1" customHeight="1" s="5">
      <c r="A187" s="17" t="n">
        <v>185</v>
      </c>
      <c r="B187" s="17" t="inlineStr">
        <is>
          <t>KIPP11</t>
        </is>
      </c>
      <c r="C187" s="2" t="inlineStr">
        <is>
          <t>11MBH30CL001</t>
        </is>
      </c>
      <c r="D187" s="14" t="inlineStr">
        <is>
          <t>LP OTC DIFFRENTIAL LEVEL TRANSMITTER</t>
        </is>
      </c>
      <c r="E187" s="37" t="n">
        <v>46041</v>
      </c>
      <c r="F187" s="103" t="n">
        <v>-5</v>
      </c>
      <c r="G187" s="103" t="n">
        <v>5</v>
      </c>
      <c r="H187" s="103" t="n">
        <v>0</v>
      </c>
      <c r="I187" s="103" t="n">
        <v>-2</v>
      </c>
      <c r="J187" s="4" t="inlineStr">
        <is>
          <t>Bar</t>
        </is>
      </c>
      <c r="K187" s="33" t="inlineStr">
        <is>
          <t>YOKOGAWA</t>
        </is>
      </c>
      <c r="L187" s="33" t="inlineStr">
        <is>
          <t>EJA110E</t>
        </is>
      </c>
      <c r="M187" s="20" t="inlineStr">
        <is>
          <t>91S313549</t>
        </is>
      </c>
      <c r="N187" s="2">
        <f>IF(E187="","Waiting","Calibrated")</f>
        <v/>
      </c>
      <c r="O187" s="2" t="n"/>
      <c r="P187" s="2" t="inlineStr">
        <is>
          <t>ZM06</t>
        </is>
      </c>
      <c r="Q187" s="2" t="n"/>
      <c r="R187" s="28" t="n"/>
      <c r="S187" s="28" t="n"/>
      <c r="T187" s="32" t="n"/>
    </row>
    <row r="188" ht="30" customFormat="1" customHeight="1" s="5">
      <c r="A188" s="17" t="n">
        <v>186</v>
      </c>
      <c r="B188" s="17" t="inlineStr">
        <is>
          <t>KIPP11</t>
        </is>
      </c>
      <c r="C188" s="2" t="inlineStr">
        <is>
          <t>11MBH30CL002</t>
        </is>
      </c>
      <c r="D188" s="14" t="inlineStr">
        <is>
          <t>LP OTC DIFFRENTIAL LEVEL TRANSMITTER</t>
        </is>
      </c>
      <c r="E188" s="37" t="n">
        <v>46041</v>
      </c>
      <c r="F188" s="103" t="n">
        <v>-5</v>
      </c>
      <c r="G188" s="103" t="n">
        <v>5</v>
      </c>
      <c r="H188" s="103" t="n">
        <v>0</v>
      </c>
      <c r="I188" s="103" t="n">
        <v>-2</v>
      </c>
      <c r="J188" s="4" t="inlineStr">
        <is>
          <t>Bar</t>
        </is>
      </c>
      <c r="K188" s="33" t="inlineStr">
        <is>
          <t>YOKOGAWA</t>
        </is>
      </c>
      <c r="L188" s="33" t="inlineStr">
        <is>
          <t>EJA110E</t>
        </is>
      </c>
      <c r="M188" s="20" t="inlineStr">
        <is>
          <t>91S313550</t>
        </is>
      </c>
      <c r="N188" s="2">
        <f>IF(E188="","Waiting","Calibrated")</f>
        <v/>
      </c>
      <c r="O188" s="2" t="n"/>
      <c r="P188" s="2" t="inlineStr">
        <is>
          <t>ZM06</t>
        </is>
      </c>
      <c r="Q188" s="2" t="n"/>
      <c r="R188" s="28" t="n"/>
      <c r="S188" s="28" t="n"/>
      <c r="T188" s="32" t="n"/>
    </row>
    <row r="189" ht="30" customFormat="1" customHeight="1" s="5">
      <c r="A189" s="17" t="n">
        <v>187</v>
      </c>
      <c r="B189" s="17" t="inlineStr">
        <is>
          <t>KIPP11</t>
        </is>
      </c>
      <c r="C189" s="2" t="inlineStr">
        <is>
          <t>11MBH30CP003</t>
        </is>
      </c>
      <c r="D189" s="14" t="inlineStr">
        <is>
          <t>P SEV COMBUSTOR PLENUM/KA01</t>
        </is>
      </c>
      <c r="E189" s="37" t="n">
        <v>46041</v>
      </c>
      <c r="F189" s="103" t="n">
        <v>-137.89</v>
      </c>
      <c r="G189" s="103" t="n">
        <v>137.89</v>
      </c>
      <c r="H189" s="103" t="n">
        <v>0</v>
      </c>
      <c r="I189" s="103" t="n">
        <v>25</v>
      </c>
      <c r="J189" s="4" t="inlineStr">
        <is>
          <t>Bar</t>
        </is>
      </c>
      <c r="K189" s="33" t="inlineStr">
        <is>
          <t>ROSEMOUNT</t>
        </is>
      </c>
      <c r="L189" s="33" t="inlineStr">
        <is>
          <t>3051 PT</t>
        </is>
      </c>
      <c r="M189" s="20" t="n">
        <v>9825259</v>
      </c>
      <c r="N189" s="2">
        <f>IF(E189="","Waiting","Calibrated")</f>
        <v/>
      </c>
      <c r="O189" s="2" t="n"/>
      <c r="P189" s="2" t="inlineStr">
        <is>
          <t>ZM06</t>
        </is>
      </c>
      <c r="Q189" s="2" t="n"/>
      <c r="R189" s="28" t="n"/>
      <c r="S189" s="28" t="n"/>
      <c r="T189" s="32" t="n"/>
    </row>
    <row r="190" ht="30" customFormat="1" customHeight="1" s="5">
      <c r="A190" s="17" t="n">
        <v>188</v>
      </c>
      <c r="B190" s="17" t="inlineStr">
        <is>
          <t>KIPP11</t>
        </is>
      </c>
      <c r="C190" s="2" t="inlineStr">
        <is>
          <t>11MBH30CP004</t>
        </is>
      </c>
      <c r="D190" s="14" t="inlineStr">
        <is>
          <t>P SEV COMBUSTOR PLENUM/KA01</t>
        </is>
      </c>
      <c r="E190" s="37" t="n">
        <v>46041</v>
      </c>
      <c r="F190" s="103" t="n">
        <v>-137.89</v>
      </c>
      <c r="G190" s="103" t="n">
        <v>137.89</v>
      </c>
      <c r="H190" s="103" t="n">
        <v>0</v>
      </c>
      <c r="I190" s="103" t="n">
        <v>25</v>
      </c>
      <c r="J190" s="4" t="inlineStr">
        <is>
          <t>Bar</t>
        </is>
      </c>
      <c r="K190" s="33" t="inlineStr">
        <is>
          <t>ROSEMOUNT</t>
        </is>
      </c>
      <c r="L190" s="33" t="inlineStr">
        <is>
          <t>3051 PT</t>
        </is>
      </c>
      <c r="M190" s="20" t="n">
        <v>9825260</v>
      </c>
      <c r="N190" s="2">
        <f>IF(E190="","Waiting","Calibrated")</f>
        <v/>
      </c>
      <c r="O190" s="2" t="n"/>
      <c r="P190" s="2" t="inlineStr">
        <is>
          <t>ZM06</t>
        </is>
      </c>
      <c r="Q190" s="2" t="n"/>
      <c r="R190" s="28" t="n"/>
      <c r="S190" s="28" t="n"/>
      <c r="T190" s="32" t="n"/>
    </row>
    <row r="191" ht="30" customFormat="1" customHeight="1" s="5">
      <c r="A191" s="17" t="n">
        <v>189</v>
      </c>
      <c r="B191" s="17" t="inlineStr">
        <is>
          <t>KIPP11</t>
        </is>
      </c>
      <c r="C191" s="2" t="inlineStr">
        <is>
          <t>11MBH30CP005</t>
        </is>
      </c>
      <c r="D191" s="14" t="inlineStr">
        <is>
          <t>P SEV COMBUSTOR PLENUM/KA01</t>
        </is>
      </c>
      <c r="E191" s="37" t="n">
        <v>46041</v>
      </c>
      <c r="F191" s="103" t="n">
        <v>-137.89</v>
      </c>
      <c r="G191" s="103" t="n">
        <v>137.89</v>
      </c>
      <c r="H191" s="103" t="n">
        <v>0</v>
      </c>
      <c r="I191" s="103" t="n">
        <v>25</v>
      </c>
      <c r="J191" s="4" t="inlineStr">
        <is>
          <t>Bar</t>
        </is>
      </c>
      <c r="K191" s="33" t="inlineStr">
        <is>
          <t>ROSEMOUNT</t>
        </is>
      </c>
      <c r="L191" s="19" t="n">
        <v>3051</v>
      </c>
      <c r="M191" s="20" t="n">
        <v>9825261</v>
      </c>
      <c r="N191" s="2">
        <f>IF(E191="","Waiting","Calibrated")</f>
        <v/>
      </c>
      <c r="O191" s="2" t="n"/>
      <c r="P191" s="2" t="inlineStr">
        <is>
          <t>ZM06</t>
        </is>
      </c>
      <c r="Q191" s="2" t="n"/>
      <c r="R191" s="28" t="n"/>
      <c r="S191" s="28" t="n"/>
      <c r="T191" s="32" t="n"/>
    </row>
    <row r="192" ht="30" customFormat="1" customHeight="1" s="5">
      <c r="A192" s="17" t="n">
        <v>190</v>
      </c>
      <c r="B192" s="17" t="inlineStr">
        <is>
          <t>KIPP11</t>
        </is>
      </c>
      <c r="C192" s="2" t="inlineStr">
        <is>
          <t>11MBH30CP015</t>
        </is>
      </c>
      <c r="D192" s="14" t="inlineStr">
        <is>
          <t>PRESSURE DIFF ACROSS LP AIR COOLER</t>
        </is>
      </c>
      <c r="E192" s="37" t="n">
        <v>46041</v>
      </c>
      <c r="F192" s="103" t="n">
        <v>-20.684</v>
      </c>
      <c r="G192" s="103" t="n">
        <v>20.684</v>
      </c>
      <c r="H192" s="103" t="n">
        <v>0</v>
      </c>
      <c r="I192" s="103" t="n">
        <v>4</v>
      </c>
      <c r="J192" s="4" t="inlineStr">
        <is>
          <t>Bar</t>
        </is>
      </c>
      <c r="K192" s="33" t="inlineStr">
        <is>
          <t>ROSEMOUNT</t>
        </is>
      </c>
      <c r="L192" s="33" t="inlineStr">
        <is>
          <t>3051 PT</t>
        </is>
      </c>
      <c r="M192" s="20" t="n">
        <v>9824811</v>
      </c>
      <c r="N192" s="2">
        <f>IF(E192="","Waiting","Calibrated")</f>
        <v/>
      </c>
      <c r="O192" s="2" t="n"/>
      <c r="P192" s="2" t="inlineStr">
        <is>
          <t>ZM06</t>
        </is>
      </c>
      <c r="Q192" s="2" t="n"/>
      <c r="R192" s="28" t="n"/>
      <c r="S192" s="28" t="n"/>
      <c r="T192" s="32" t="n"/>
    </row>
    <row r="193" ht="30" customFormat="1" customHeight="1" s="5">
      <c r="A193" s="17" t="n">
        <v>191</v>
      </c>
      <c r="B193" s="17" t="inlineStr">
        <is>
          <t>KIPP11</t>
        </is>
      </c>
      <c r="C193" s="2" t="inlineStr">
        <is>
          <t>11MBH30CP020</t>
        </is>
      </c>
      <c r="D193" s="14" t="inlineStr">
        <is>
          <t>P QUENSCH WATER TO LP COOLER</t>
        </is>
      </c>
      <c r="E193" s="37" t="n">
        <v>46042</v>
      </c>
      <c r="F193" s="103" t="n">
        <v>-137.89</v>
      </c>
      <c r="G193" s="103" t="n">
        <v>137.89</v>
      </c>
      <c r="H193" s="103" t="n">
        <v>0</v>
      </c>
      <c r="I193" s="103" t="n">
        <v>30</v>
      </c>
      <c r="J193" s="4" t="inlineStr">
        <is>
          <t>Bar</t>
        </is>
      </c>
      <c r="K193" s="33" t="inlineStr">
        <is>
          <t>ROSEMOUNT</t>
        </is>
      </c>
      <c r="L193" s="33" t="inlineStr">
        <is>
          <t>3051 PT</t>
        </is>
      </c>
      <c r="M193" s="20" t="n">
        <v>9825287</v>
      </c>
      <c r="N193" s="2">
        <f>IF(E193="","Waiting","Calibrated")</f>
        <v/>
      </c>
      <c r="O193" s="2" t="n"/>
      <c r="P193" s="2" t="inlineStr">
        <is>
          <t>ZM06</t>
        </is>
      </c>
      <c r="Q193" s="2" t="n"/>
      <c r="R193" s="28" t="n"/>
      <c r="S193" s="28" t="n"/>
      <c r="T193" s="32" t="n"/>
    </row>
    <row r="194" ht="30" customFormat="1" customHeight="1" s="5">
      <c r="A194" s="17" t="n">
        <v>192</v>
      </c>
      <c r="B194" s="17" t="inlineStr">
        <is>
          <t>KIPP11</t>
        </is>
      </c>
      <c r="C194" s="2" t="inlineStr">
        <is>
          <t>11MBH30CP021</t>
        </is>
      </c>
      <c r="D194" s="14" t="inlineStr">
        <is>
          <t>GT SEV COMBUSTOR LINER/KA01 PDT</t>
        </is>
      </c>
      <c r="E194" s="37" t="n">
        <v>46042</v>
      </c>
      <c r="F194" s="103" t="n">
        <v>-20.684</v>
      </c>
      <c r="G194" s="103" t="n">
        <v>20.684</v>
      </c>
      <c r="H194" s="103" t="n">
        <v>0</v>
      </c>
      <c r="I194" s="103" t="n">
        <v>5</v>
      </c>
      <c r="J194" s="4" t="inlineStr">
        <is>
          <t>Bar</t>
        </is>
      </c>
      <c r="K194" s="19" t="inlineStr">
        <is>
          <t>ROSEMOUNT</t>
        </is>
      </c>
      <c r="L194" s="19" t="inlineStr">
        <is>
          <t>3051CD</t>
        </is>
      </c>
      <c r="M194" s="20" t="n">
        <v>9825276</v>
      </c>
      <c r="N194" s="2">
        <f>IF(E194="","Waiting","Calibrated")</f>
        <v/>
      </c>
      <c r="O194" s="2" t="n"/>
      <c r="P194" s="2" t="inlineStr">
        <is>
          <t>ZM06</t>
        </is>
      </c>
      <c r="Q194" s="2" t="n"/>
      <c r="R194" s="28" t="n"/>
      <c r="S194" s="28" t="n"/>
      <c r="T194" s="32" t="n"/>
    </row>
    <row r="195" ht="30" customFormat="1" customHeight="1" s="5">
      <c r="A195" s="17" t="n">
        <v>193</v>
      </c>
      <c r="B195" s="17" t="inlineStr">
        <is>
          <t>KIPP11</t>
        </is>
      </c>
      <c r="C195" s="2" t="inlineStr">
        <is>
          <t>11MBH30CP022</t>
        </is>
      </c>
      <c r="D195" s="14" t="inlineStr">
        <is>
          <t>P DIFF SEV COMBUSTOR LINER/KA01</t>
        </is>
      </c>
      <c r="E195" s="37" t="n">
        <v>46042</v>
      </c>
      <c r="F195" s="103" t="n">
        <v>-20.684</v>
      </c>
      <c r="G195" s="103" t="n">
        <v>20.684</v>
      </c>
      <c r="H195" s="103" t="n">
        <v>0</v>
      </c>
      <c r="I195" s="103" t="n">
        <v>5</v>
      </c>
      <c r="J195" s="4" t="inlineStr">
        <is>
          <t>Bar</t>
        </is>
      </c>
      <c r="K195" s="19" t="inlineStr">
        <is>
          <t>ROSEMOUNT</t>
        </is>
      </c>
      <c r="L195" s="19" t="inlineStr">
        <is>
          <t>3051CD</t>
        </is>
      </c>
      <c r="M195" s="20" t="n">
        <v>9825274</v>
      </c>
      <c r="N195" s="2">
        <f>IF(E195="","Waiting","Calibrated")</f>
        <v/>
      </c>
      <c r="O195" s="2" t="n"/>
      <c r="P195" s="2" t="inlineStr">
        <is>
          <t>ZM06</t>
        </is>
      </c>
      <c r="Q195" s="2" t="n"/>
      <c r="R195" s="28" t="n"/>
      <c r="S195" s="28" t="n"/>
      <c r="T195" s="32" t="n"/>
    </row>
    <row r="196" ht="30" customFormat="1" customHeight="1" s="5">
      <c r="A196" s="17" t="n">
        <v>194</v>
      </c>
      <c r="B196" s="17" t="inlineStr">
        <is>
          <t>KIPP11</t>
        </is>
      </c>
      <c r="C196" s="2" t="inlineStr">
        <is>
          <t>11MBH30CP023</t>
        </is>
      </c>
      <c r="D196" s="14" t="inlineStr">
        <is>
          <t>P DIFF SEV COMBUSTOR LINER/KA01</t>
        </is>
      </c>
      <c r="E196" s="37" t="n">
        <v>46042</v>
      </c>
      <c r="F196" s="103" t="n">
        <v>-20.684</v>
      </c>
      <c r="G196" s="103" t="n">
        <v>20.684</v>
      </c>
      <c r="H196" s="103" t="n">
        <v>0</v>
      </c>
      <c r="I196" s="103" t="n">
        <v>5</v>
      </c>
      <c r="J196" s="4" t="inlineStr">
        <is>
          <t>Bar</t>
        </is>
      </c>
      <c r="K196" s="19" t="inlineStr">
        <is>
          <t>ROSEMOUNT</t>
        </is>
      </c>
      <c r="L196" s="19" t="inlineStr">
        <is>
          <t>3051CD</t>
        </is>
      </c>
      <c r="M196" s="20" t="n">
        <v>9825275</v>
      </c>
      <c r="N196" s="2">
        <f>IF(E196="","Waiting","Calibrated")</f>
        <v/>
      </c>
      <c r="O196" s="2" t="n"/>
      <c r="P196" s="2" t="inlineStr">
        <is>
          <t>ZM06</t>
        </is>
      </c>
      <c r="Q196" s="2" t="n"/>
      <c r="R196" s="28" t="n"/>
      <c r="S196" s="28" t="n"/>
      <c r="T196" s="32" t="n"/>
    </row>
    <row r="197" ht="30" customFormat="1" customHeight="1" s="5">
      <c r="A197" s="17" t="n">
        <v>195</v>
      </c>
      <c r="B197" s="17" t="inlineStr">
        <is>
          <t>KIPP11</t>
        </is>
      </c>
      <c r="C197" s="2" t="inlineStr">
        <is>
          <t>11MBH40CL001</t>
        </is>
      </c>
      <c r="D197" s="14" t="inlineStr">
        <is>
          <t>HP OTC DIFFRENTIAL LEVEL TRANSMITTER</t>
        </is>
      </c>
      <c r="E197" s="37" t="n">
        <v>46042</v>
      </c>
      <c r="F197" s="103" t="n">
        <v>-5</v>
      </c>
      <c r="G197" s="103" t="n">
        <v>5</v>
      </c>
      <c r="H197" s="103" t="n">
        <v>0</v>
      </c>
      <c r="I197" s="103" t="n">
        <v>-2</v>
      </c>
      <c r="J197" s="4" t="inlineStr">
        <is>
          <t>Bar</t>
        </is>
      </c>
      <c r="K197" s="33" t="inlineStr">
        <is>
          <t>YOKOGAWA</t>
        </is>
      </c>
      <c r="L197" s="33" t="inlineStr">
        <is>
          <t>EJA110E</t>
        </is>
      </c>
      <c r="M197" s="20" t="inlineStr">
        <is>
          <t>91S313547</t>
        </is>
      </c>
      <c r="N197" s="2">
        <f>IF(E197="","Waiting","Calibrated")</f>
        <v/>
      </c>
      <c r="O197" s="2" t="n"/>
      <c r="P197" s="2" t="inlineStr">
        <is>
          <t>ZM06</t>
        </is>
      </c>
      <c r="Q197" s="2" t="n"/>
      <c r="R197" s="28" t="n"/>
      <c r="S197" s="28" t="n"/>
      <c r="T197" s="32" t="n"/>
    </row>
    <row r="198" ht="30" customFormat="1" customHeight="1" s="5">
      <c r="A198" s="17" t="n">
        <v>196</v>
      </c>
      <c r="B198" s="17" t="inlineStr">
        <is>
          <t>KIPP11</t>
        </is>
      </c>
      <c r="C198" s="2" t="inlineStr">
        <is>
          <t>11MBH40CL002</t>
        </is>
      </c>
      <c r="D198" s="14" t="inlineStr">
        <is>
          <t>HP OTC DIFFRENTIAL LEVEL TRANSMITTER</t>
        </is>
      </c>
      <c r="E198" s="37" t="n">
        <v>46042</v>
      </c>
      <c r="F198" s="103" t="n">
        <v>-5</v>
      </c>
      <c r="G198" s="103" t="n">
        <v>5</v>
      </c>
      <c r="H198" s="103" t="n">
        <v>0</v>
      </c>
      <c r="I198" s="103" t="n">
        <v>-2</v>
      </c>
      <c r="J198" s="4" t="inlineStr">
        <is>
          <t>Bar</t>
        </is>
      </c>
      <c r="K198" s="33" t="inlineStr">
        <is>
          <t>YOKOGAWA</t>
        </is>
      </c>
      <c r="L198" s="33" t="inlineStr">
        <is>
          <t>EJA110E</t>
        </is>
      </c>
      <c r="M198" s="20" t="inlineStr">
        <is>
          <t>91S313548</t>
        </is>
      </c>
      <c r="N198" s="2">
        <f>IF(E198="","Waiting","Calibrated")</f>
        <v/>
      </c>
      <c r="O198" s="2" t="n"/>
      <c r="P198" s="2" t="inlineStr">
        <is>
          <t>ZM06</t>
        </is>
      </c>
      <c r="Q198" s="2" t="n"/>
      <c r="R198" s="28" t="n"/>
      <c r="S198" s="28" t="n"/>
      <c r="T198" s="32" t="n"/>
    </row>
    <row r="199" ht="30" customFormat="1" customHeight="1" s="5">
      <c r="A199" s="17" t="n">
        <v>197</v>
      </c>
      <c r="B199" s="17" t="inlineStr">
        <is>
          <t>KIPP11</t>
        </is>
      </c>
      <c r="C199" s="2" t="inlineStr">
        <is>
          <t>11MBH40CP015</t>
        </is>
      </c>
      <c r="D199" s="14" t="inlineStr">
        <is>
          <t>DP HP OTC</t>
        </is>
      </c>
      <c r="E199" s="37" t="n">
        <v>46042</v>
      </c>
      <c r="F199" s="103" t="n">
        <v>-621.6</v>
      </c>
      <c r="G199" s="103" t="n">
        <v>621.6</v>
      </c>
      <c r="H199" s="103" t="n">
        <v>0</v>
      </c>
      <c r="I199" s="103" t="n">
        <v>500</v>
      </c>
      <c r="J199" s="4" t="inlineStr">
        <is>
          <t>mBar</t>
        </is>
      </c>
      <c r="K199" s="33" t="inlineStr">
        <is>
          <t>ROSEMOUNT</t>
        </is>
      </c>
      <c r="L199" s="33" t="inlineStr">
        <is>
          <t>3051 PT</t>
        </is>
      </c>
      <c r="M199" s="20" t="n">
        <v>9825290</v>
      </c>
      <c r="N199" s="2">
        <f>IF(E199="","Waiting","Calibrated")</f>
        <v/>
      </c>
      <c r="O199" s="2" t="n"/>
      <c r="P199" s="2" t="inlineStr">
        <is>
          <t>ZM06</t>
        </is>
      </c>
      <c r="Q199" s="2" t="n"/>
      <c r="R199" s="28" t="n"/>
      <c r="S199" s="28" t="n"/>
      <c r="T199" s="32" t="n"/>
    </row>
    <row r="200" ht="30" customFormat="1" customHeight="1" s="5">
      <c r="A200" s="17" t="n">
        <v>198</v>
      </c>
      <c r="B200" s="17" t="inlineStr">
        <is>
          <t>KIPP11</t>
        </is>
      </c>
      <c r="C200" s="2" t="inlineStr">
        <is>
          <t>11MBH41CP102</t>
        </is>
      </c>
      <c r="D200" s="14" t="inlineStr">
        <is>
          <t>PRESSURE AFTER BLOW-OFF BYPASS VALVE</t>
        </is>
      </c>
      <c r="E200" s="37" t="n">
        <v>46042</v>
      </c>
      <c r="F200" s="103" t="n">
        <v>-137.89</v>
      </c>
      <c r="G200" s="103" t="n">
        <v>137.89</v>
      </c>
      <c r="H200" s="103" t="n">
        <v>0</v>
      </c>
      <c r="I200" s="103" t="n">
        <v>40</v>
      </c>
      <c r="J200" s="4" t="inlineStr">
        <is>
          <t>Bar</t>
        </is>
      </c>
      <c r="K200" s="33" t="inlineStr">
        <is>
          <t>ROSEMOUNT</t>
        </is>
      </c>
      <c r="L200" s="33" t="inlineStr">
        <is>
          <t>3051CD</t>
        </is>
      </c>
      <c r="M200" s="20" t="n">
        <v>9855800</v>
      </c>
      <c r="N200" s="2">
        <f>IF(E200="","Waiting","Calibrated")</f>
        <v/>
      </c>
      <c r="O200" s="2" t="n"/>
      <c r="P200" s="2" t="inlineStr">
        <is>
          <t>ZM06</t>
        </is>
      </c>
      <c r="Q200" s="2" t="n"/>
      <c r="R200" s="28" t="n"/>
      <c r="S200" s="28" t="n"/>
      <c r="T200" s="32" t="n"/>
    </row>
    <row r="201" ht="30" customFormat="1" customHeight="1" s="5">
      <c r="A201" s="17" t="n">
        <v>199</v>
      </c>
      <c r="B201" s="17" t="inlineStr">
        <is>
          <t>KIPP11</t>
        </is>
      </c>
      <c r="C201" s="2" t="inlineStr">
        <is>
          <t>11MBH41CP103</t>
        </is>
      </c>
      <c r="D201" s="14" t="inlineStr">
        <is>
          <t>DP FLOW MEASUREMENT</t>
        </is>
      </c>
      <c r="E201" s="37" t="n">
        <v>46042</v>
      </c>
      <c r="F201" s="103" t="n">
        <v>-20.684</v>
      </c>
      <c r="G201" s="103" t="n">
        <v>20.684</v>
      </c>
      <c r="H201" s="103" t="n">
        <v>0</v>
      </c>
      <c r="I201" s="103" t="n">
        <v>10</v>
      </c>
      <c r="J201" s="4" t="inlineStr">
        <is>
          <t>Bar</t>
        </is>
      </c>
      <c r="K201" s="33" t="inlineStr">
        <is>
          <t>ROSEMOUNT</t>
        </is>
      </c>
      <c r="L201" s="33" t="inlineStr">
        <is>
          <t>3051CD</t>
        </is>
      </c>
      <c r="M201" s="20" t="n">
        <v>9855803</v>
      </c>
      <c r="N201" s="2">
        <f>IF(E201="","Waiting","Calibrated")</f>
        <v/>
      </c>
      <c r="O201" s="2" t="n"/>
      <c r="P201" s="2" t="inlineStr">
        <is>
          <t>ZM06</t>
        </is>
      </c>
      <c r="Q201" s="2" t="n"/>
      <c r="R201" s="28" t="n"/>
      <c r="S201" s="28" t="n"/>
      <c r="T201" s="32" t="n"/>
    </row>
    <row r="202" ht="30" customFormat="1" customHeight="1" s="5">
      <c r="A202" s="17" t="n">
        <v>200</v>
      </c>
      <c r="B202" s="17" t="inlineStr">
        <is>
          <t>KIPP11</t>
        </is>
      </c>
      <c r="C202" s="2" t="inlineStr">
        <is>
          <t>11MBH52CP001</t>
        </is>
      </c>
      <c r="D202" s="14" t="inlineStr">
        <is>
          <t>EXHAUST BEARING FAN 1 PDI</t>
        </is>
      </c>
      <c r="E202" s="37" t="n">
        <v>46042</v>
      </c>
      <c r="F202" s="103" t="n">
        <v>-621.6</v>
      </c>
      <c r="G202" s="103" t="n">
        <v>621.6</v>
      </c>
      <c r="H202" s="103" t="n">
        <v>0</v>
      </c>
      <c r="I202" s="103" t="n">
        <v>400</v>
      </c>
      <c r="J202" s="4" t="inlineStr">
        <is>
          <t>mBar</t>
        </is>
      </c>
      <c r="K202" s="33" t="inlineStr">
        <is>
          <t>ROSEMOUNT</t>
        </is>
      </c>
      <c r="L202" s="33" t="inlineStr">
        <is>
          <t>3051 PT</t>
        </is>
      </c>
      <c r="M202" s="20" t="n">
        <v>9891371</v>
      </c>
      <c r="N202" s="2">
        <f>IF(E202="","Waiting","Calibrated")</f>
        <v/>
      </c>
      <c r="O202" s="2" t="n"/>
      <c r="P202" s="2" t="inlineStr">
        <is>
          <t>ZM06</t>
        </is>
      </c>
      <c r="Q202" s="2" t="n"/>
      <c r="R202" s="28" t="n"/>
      <c r="S202" s="28" t="n"/>
      <c r="T202" s="32" t="n"/>
    </row>
    <row r="203" ht="30" customFormat="1" customHeight="1" s="5">
      <c r="A203" s="17" t="n">
        <v>201</v>
      </c>
      <c r="B203" s="17" t="inlineStr">
        <is>
          <t>KIPP11</t>
        </is>
      </c>
      <c r="C203" s="2" t="inlineStr">
        <is>
          <t>11MBH52CP002</t>
        </is>
      </c>
      <c r="D203" s="14" t="inlineStr">
        <is>
          <t>EXHAUST BEARING FAN 2 PDI</t>
        </is>
      </c>
      <c r="E203" s="37" t="n">
        <v>46042</v>
      </c>
      <c r="F203" s="103" t="n">
        <v>-621.6</v>
      </c>
      <c r="G203" s="103" t="n">
        <v>621.6</v>
      </c>
      <c r="H203" s="103" t="n">
        <v>0</v>
      </c>
      <c r="I203" s="103" t="n">
        <v>400</v>
      </c>
      <c r="J203" s="4" t="inlineStr">
        <is>
          <t>mBar</t>
        </is>
      </c>
      <c r="K203" s="33" t="inlineStr">
        <is>
          <t>ROSEMOUNT</t>
        </is>
      </c>
      <c r="L203" s="33" t="inlineStr">
        <is>
          <t>3051 PT</t>
        </is>
      </c>
      <c r="M203" s="20" t="n">
        <v>9891372</v>
      </c>
      <c r="N203" s="2">
        <f>IF(E203="","Waiting","Calibrated")</f>
        <v/>
      </c>
      <c r="O203" s="2" t="n"/>
      <c r="P203" s="2" t="inlineStr">
        <is>
          <t>ZM06</t>
        </is>
      </c>
      <c r="Q203" s="2" t="n"/>
      <c r="R203" s="28" t="n"/>
      <c r="S203" s="28" t="n"/>
      <c r="T203" s="32" t="n"/>
    </row>
    <row r="204" ht="30" customFormat="1" customHeight="1" s="5">
      <c r="A204" s="17" t="n">
        <v>202</v>
      </c>
      <c r="B204" s="17" t="inlineStr">
        <is>
          <t>KIPP11</t>
        </is>
      </c>
      <c r="C204" s="2" t="inlineStr">
        <is>
          <t>11MBH60CP001</t>
        </is>
      </c>
      <c r="D204" s="14" t="inlineStr">
        <is>
          <t>DP CMAS FAN 1</t>
        </is>
      </c>
      <c r="E204" s="37" t="n">
        <v>46042</v>
      </c>
      <c r="F204" s="103" t="n">
        <v>-621.6</v>
      </c>
      <c r="G204" s="103" t="n">
        <v>621.6</v>
      </c>
      <c r="H204" s="103" t="n">
        <v>0</v>
      </c>
      <c r="I204" s="103" t="n">
        <v>50</v>
      </c>
      <c r="J204" s="4" t="inlineStr">
        <is>
          <t>mBar</t>
        </is>
      </c>
      <c r="K204" s="33" t="inlineStr">
        <is>
          <t>ROSEMOUNT</t>
        </is>
      </c>
      <c r="L204" s="33" t="inlineStr">
        <is>
          <t>3051 PT</t>
        </is>
      </c>
      <c r="M204" s="20" t="n">
        <v>9891369</v>
      </c>
      <c r="N204" s="2">
        <f>IF(E204="","Waiting","Calibrated")</f>
        <v/>
      </c>
      <c r="O204" s="2" t="n"/>
      <c r="P204" s="2" t="n"/>
      <c r="Q204" s="2" t="n"/>
      <c r="R204" s="28" t="n"/>
      <c r="S204" s="28" t="n"/>
      <c r="T204" s="32" t="n"/>
    </row>
    <row r="205" ht="30" customFormat="1" customHeight="1" s="5">
      <c r="A205" s="17" t="n">
        <v>203</v>
      </c>
      <c r="B205" s="17" t="inlineStr">
        <is>
          <t>KIPP11</t>
        </is>
      </c>
      <c r="C205" s="2" t="inlineStr">
        <is>
          <t>11MBH60CP002</t>
        </is>
      </c>
      <c r="D205" s="14" t="inlineStr">
        <is>
          <t>DP CMAS FAN 2</t>
        </is>
      </c>
      <c r="E205" s="37" t="n">
        <v>46042</v>
      </c>
      <c r="F205" s="103" t="n">
        <v>-621.6</v>
      </c>
      <c r="G205" s="103" t="n">
        <v>621.6</v>
      </c>
      <c r="H205" s="103" t="n">
        <v>0</v>
      </c>
      <c r="I205" s="103" t="n">
        <v>50</v>
      </c>
      <c r="J205" s="4" t="inlineStr">
        <is>
          <t>mBar</t>
        </is>
      </c>
      <c r="K205" s="33" t="inlineStr">
        <is>
          <t>ROSEMOUNT</t>
        </is>
      </c>
      <c r="L205" s="33" t="inlineStr">
        <is>
          <t>3051 PT</t>
        </is>
      </c>
      <c r="M205" s="20" t="n">
        <v>9891370</v>
      </c>
      <c r="N205" s="2">
        <f>IF(E205="","Waiting","Calibrated")</f>
        <v/>
      </c>
      <c r="O205" s="2" t="n"/>
      <c r="P205" s="2" t="inlineStr">
        <is>
          <t>ZM06</t>
        </is>
      </c>
      <c r="Q205" s="2" t="n"/>
      <c r="R205" s="28" t="n"/>
      <c r="S205" s="28" t="n"/>
      <c r="T205" s="32" t="n"/>
    </row>
    <row r="206" ht="30" customFormat="1" customHeight="1" s="5">
      <c r="A206" s="17" t="n">
        <v>204</v>
      </c>
      <c r="B206" s="17" t="inlineStr">
        <is>
          <t>KIPP11</t>
        </is>
      </c>
      <c r="C206" s="2" t="inlineStr">
        <is>
          <t>11MBH80CP011</t>
        </is>
      </c>
      <c r="D206" s="14" t="inlineStr">
        <is>
          <t>DIFFERENTIAL PRESSURE EV COMBUSTOR</t>
        </is>
      </c>
      <c r="E206" s="37" t="n">
        <v>46042</v>
      </c>
      <c r="F206" s="103" t="n">
        <v>-2.4864</v>
      </c>
      <c r="G206" s="103" t="n">
        <v>2.4864</v>
      </c>
      <c r="H206" s="103" t="n">
        <v>0</v>
      </c>
      <c r="I206" s="103" t="n">
        <v>2.5</v>
      </c>
      <c r="J206" s="4" t="inlineStr">
        <is>
          <t>Bar</t>
        </is>
      </c>
      <c r="K206" s="33" t="inlineStr">
        <is>
          <t>ROSEMOUNT</t>
        </is>
      </c>
      <c r="L206" s="33" t="inlineStr">
        <is>
          <t>3051 PT</t>
        </is>
      </c>
      <c r="M206" s="20" t="n">
        <v>9825280</v>
      </c>
      <c r="N206" s="2">
        <f>IF(E206="","Waiting","Calibrated")</f>
        <v/>
      </c>
      <c r="O206" s="2" t="n"/>
      <c r="P206" s="2" t="inlineStr">
        <is>
          <t>ZM06</t>
        </is>
      </c>
      <c r="Q206" s="2" t="n"/>
      <c r="R206" s="28" t="n"/>
      <c r="S206" s="28" t="n"/>
      <c r="T206" s="32" t="n"/>
    </row>
    <row r="207" ht="30" customFormat="1" customHeight="1" s="5">
      <c r="A207" s="17" t="n">
        <v>205</v>
      </c>
      <c r="B207" s="17" t="inlineStr">
        <is>
          <t>KIPP11</t>
        </is>
      </c>
      <c r="C207" s="2" t="inlineStr">
        <is>
          <t>11MBH80CP012</t>
        </is>
      </c>
      <c r="D207" s="14" t="inlineStr">
        <is>
          <t>DIFFERENTIAL PRESSURE EV COMBUSTOR</t>
        </is>
      </c>
      <c r="E207" s="37" t="n">
        <v>46042</v>
      </c>
      <c r="F207" s="103" t="n">
        <v>-2.4864</v>
      </c>
      <c r="G207" s="103" t="n">
        <v>2.4864</v>
      </c>
      <c r="H207" s="103" t="n">
        <v>0</v>
      </c>
      <c r="I207" s="103" t="n">
        <v>2.5</v>
      </c>
      <c r="J207" s="4" t="inlineStr">
        <is>
          <t>Bar</t>
        </is>
      </c>
      <c r="K207" s="33" t="inlineStr">
        <is>
          <t>ROSEMOUNT</t>
        </is>
      </c>
      <c r="L207" s="33" t="inlineStr">
        <is>
          <t>3051 PT</t>
        </is>
      </c>
      <c r="M207" s="20" t="n">
        <v>9825281</v>
      </c>
      <c r="N207" s="2">
        <f>IF(E207="","Waiting","Calibrated")</f>
        <v/>
      </c>
      <c r="O207" s="2" t="n"/>
      <c r="P207" s="2" t="inlineStr">
        <is>
          <t>ZM06</t>
        </is>
      </c>
      <c r="Q207" s="2" t="n"/>
      <c r="R207" s="28" t="n"/>
      <c r="S207" s="28" t="n"/>
      <c r="T207" s="32" t="n"/>
    </row>
    <row r="208" ht="30" customFormat="1" customHeight="1" s="5">
      <c r="A208" s="17" t="n">
        <v>206</v>
      </c>
      <c r="B208" s="17" t="inlineStr">
        <is>
          <t>KIPP11</t>
        </is>
      </c>
      <c r="C208" s="2" t="inlineStr">
        <is>
          <t>11MBH90CP001</t>
        </is>
      </c>
      <c r="D208" s="14" t="inlineStr">
        <is>
          <t>PRESSURE BEFORE ANTI-ICING CONTROL VALVE</t>
        </is>
      </c>
      <c r="E208" s="37" t="n">
        <v>46043</v>
      </c>
      <c r="F208" s="103" t="n">
        <v>-137.89</v>
      </c>
      <c r="G208" s="103" t="n">
        <v>137.89</v>
      </c>
      <c r="H208" s="103" t="n">
        <v>0</v>
      </c>
      <c r="I208" s="103" t="n">
        <v>40</v>
      </c>
      <c r="J208" s="4" t="inlineStr">
        <is>
          <t>Bar</t>
        </is>
      </c>
      <c r="K208" s="33" t="inlineStr">
        <is>
          <t>ROSEMOUNT</t>
        </is>
      </c>
      <c r="L208" s="33" t="inlineStr">
        <is>
          <t>3051 PT</t>
        </is>
      </c>
      <c r="M208" s="20" t="n">
        <v>9914214</v>
      </c>
      <c r="N208" s="2">
        <f>IF(E208="","Waiting","Calibrated")</f>
        <v/>
      </c>
      <c r="O208" s="2" t="n"/>
      <c r="P208" s="2" t="inlineStr">
        <is>
          <t>ZM06</t>
        </is>
      </c>
      <c r="Q208" s="2" t="n"/>
      <c r="R208" s="28" t="n"/>
      <c r="S208" s="28" t="n"/>
      <c r="T208" s="32" t="n"/>
    </row>
    <row r="209" ht="30" customFormat="1" customHeight="1" s="5">
      <c r="A209" s="17" t="n">
        <v>207</v>
      </c>
      <c r="B209" s="17" t="inlineStr">
        <is>
          <t>KIPP11</t>
        </is>
      </c>
      <c r="C209" s="2" t="inlineStr">
        <is>
          <t>11MBH90CP004</t>
        </is>
      </c>
      <c r="D209" s="14" t="inlineStr">
        <is>
          <t>DP OVER ANTI ICING CV</t>
        </is>
      </c>
      <c r="E209" s="37" t="n">
        <v>46043</v>
      </c>
      <c r="F209" s="103" t="n">
        <v>-137.89</v>
      </c>
      <c r="G209" s="103" t="n">
        <v>137.89</v>
      </c>
      <c r="H209" s="103" t="n">
        <v>0</v>
      </c>
      <c r="I209" s="103" t="n">
        <v>40</v>
      </c>
      <c r="J209" s="4" t="inlineStr">
        <is>
          <t>Bar</t>
        </is>
      </c>
      <c r="K209" s="33" t="inlineStr">
        <is>
          <t>ROSEMOUNT</t>
        </is>
      </c>
      <c r="L209" s="33" t="inlineStr">
        <is>
          <t>3051 PT</t>
        </is>
      </c>
      <c r="M209" s="20" t="n">
        <v>9914216</v>
      </c>
      <c r="N209" s="2">
        <f>IF(E209="","Waiting","Calibrated")</f>
        <v/>
      </c>
      <c r="O209" s="2" t="n"/>
      <c r="P209" s="2" t="inlineStr">
        <is>
          <t>ZM06</t>
        </is>
      </c>
      <c r="Q209" s="2" t="n"/>
      <c r="R209" s="28" t="n"/>
      <c r="S209" s="28" t="n"/>
      <c r="T209" s="32" t="n"/>
    </row>
    <row r="210" ht="30" customFormat="1" customHeight="1" s="5">
      <c r="A210" s="17" t="n">
        <v>208</v>
      </c>
      <c r="B210" s="17" t="inlineStr">
        <is>
          <t>KIPP11</t>
        </is>
      </c>
      <c r="C210" s="2" t="inlineStr">
        <is>
          <t>11MBL01CP011</t>
        </is>
      </c>
      <c r="D210" s="14" t="inlineStr">
        <is>
          <t>DP AIR INTK FLTR TOT</t>
        </is>
      </c>
      <c r="E210" s="37" t="n">
        <v>46043</v>
      </c>
      <c r="F210" s="103" t="n">
        <v>-621.6</v>
      </c>
      <c r="G210" s="103" t="n">
        <v>621.6</v>
      </c>
      <c r="H210" s="103" t="n">
        <v>0</v>
      </c>
      <c r="I210" s="103" t="n">
        <v>3000</v>
      </c>
      <c r="J210" s="4" t="inlineStr">
        <is>
          <t>Pa</t>
        </is>
      </c>
      <c r="K210" s="33" t="inlineStr">
        <is>
          <t>ROSEMOUNT</t>
        </is>
      </c>
      <c r="L210" s="33" t="inlineStr">
        <is>
          <t>3051 PT</t>
        </is>
      </c>
      <c r="M210" s="20" t="n">
        <v>9844811</v>
      </c>
      <c r="N210" s="2">
        <f>IF(E210="","Waiting","Calibrated")</f>
        <v/>
      </c>
      <c r="O210" s="2" t="n"/>
      <c r="P210" s="2" t="inlineStr">
        <is>
          <t>ZM06</t>
        </is>
      </c>
      <c r="Q210" s="2" t="n"/>
      <c r="R210" s="28" t="n"/>
      <c r="S210" s="28" t="n"/>
      <c r="T210" s="32" t="n"/>
    </row>
    <row r="211" ht="30" customFormat="1" customHeight="1" s="5">
      <c r="A211" s="17" t="n">
        <v>209</v>
      </c>
      <c r="B211" s="17" t="inlineStr">
        <is>
          <t>KIPP11</t>
        </is>
      </c>
      <c r="C211" s="2" t="inlineStr">
        <is>
          <t>11MBL01CP012</t>
        </is>
      </c>
      <c r="D211" s="14" t="inlineStr">
        <is>
          <t>DP AIR INTK FLTR TOT</t>
        </is>
      </c>
      <c r="E211" s="37" t="n">
        <v>46043</v>
      </c>
      <c r="F211" s="103" t="n">
        <v>-621.6</v>
      </c>
      <c r="G211" s="103" t="n">
        <v>621.6</v>
      </c>
      <c r="H211" s="103" t="n">
        <v>0</v>
      </c>
      <c r="I211" s="103" t="n">
        <v>3000</v>
      </c>
      <c r="J211" s="4" t="inlineStr">
        <is>
          <t>Pa</t>
        </is>
      </c>
      <c r="K211" s="33" t="inlineStr">
        <is>
          <t>ROSEMOUNT</t>
        </is>
      </c>
      <c r="L211" s="33" t="inlineStr">
        <is>
          <t>3051 PT</t>
        </is>
      </c>
      <c r="M211" s="20" t="n">
        <v>9844812</v>
      </c>
      <c r="N211" s="2">
        <f>IF(E211="","Waiting","Calibrated")</f>
        <v/>
      </c>
      <c r="O211" s="2" t="n"/>
      <c r="P211" s="2" t="inlineStr">
        <is>
          <t>ZM06</t>
        </is>
      </c>
      <c r="Q211" s="2" t="n"/>
      <c r="R211" s="28" t="n"/>
      <c r="S211" s="28" t="n"/>
      <c r="T211" s="32" t="n"/>
    </row>
    <row r="212" ht="30" customFormat="1" customHeight="1" s="5">
      <c r="A212" s="17" t="n">
        <v>210</v>
      </c>
      <c r="B212" s="17" t="inlineStr">
        <is>
          <t>KIPP11</t>
        </is>
      </c>
      <c r="C212" s="2" t="inlineStr">
        <is>
          <t>11MBL51CP001</t>
        </is>
      </c>
      <c r="D212" s="14" t="inlineStr">
        <is>
          <t>DP PRE FLTR STAGE</t>
        </is>
      </c>
      <c r="E212" s="37" t="n">
        <v>46043</v>
      </c>
      <c r="F212" s="103" t="n">
        <v>-621.6</v>
      </c>
      <c r="G212" s="103" t="n">
        <v>621.6</v>
      </c>
      <c r="H212" s="103" t="n">
        <v>0</v>
      </c>
      <c r="I212" s="103" t="n">
        <v>2500</v>
      </c>
      <c r="J212" s="4" t="inlineStr">
        <is>
          <t>Pa</t>
        </is>
      </c>
      <c r="K212" s="33" t="inlineStr">
        <is>
          <t>ROSEMOUNT</t>
        </is>
      </c>
      <c r="L212" s="33" t="inlineStr">
        <is>
          <t>3051 PT</t>
        </is>
      </c>
      <c r="M212" s="20" t="n">
        <v>9844805</v>
      </c>
      <c r="N212" s="2">
        <f>IF(E212="","Waiting","Calibrated")</f>
        <v/>
      </c>
      <c r="O212" s="2" t="n"/>
      <c r="P212" s="2" t="inlineStr">
        <is>
          <t>ZM06</t>
        </is>
      </c>
      <c r="Q212" s="2" t="n"/>
      <c r="R212" s="28" t="n"/>
      <c r="S212" s="28" t="n"/>
      <c r="T212" s="32" t="n"/>
    </row>
    <row r="213" ht="30" customFormat="1" customHeight="1" s="5">
      <c r="A213" s="17" t="n">
        <v>211</v>
      </c>
      <c r="B213" s="17" t="inlineStr">
        <is>
          <t>KIPP11</t>
        </is>
      </c>
      <c r="C213" s="2" t="inlineStr">
        <is>
          <t>11MBL51CP002</t>
        </is>
      </c>
      <c r="D213" s="14" t="inlineStr">
        <is>
          <t>DP FINE FLTR STAGE</t>
        </is>
      </c>
      <c r="E213" s="37" t="n">
        <v>46043</v>
      </c>
      <c r="F213" s="103" t="n">
        <v>-621.6</v>
      </c>
      <c r="G213" s="103" t="n">
        <v>621.6</v>
      </c>
      <c r="H213" s="103" t="n">
        <v>0</v>
      </c>
      <c r="I213" s="103" t="n">
        <v>2500</v>
      </c>
      <c r="J213" s="4" t="inlineStr">
        <is>
          <t>Pa</t>
        </is>
      </c>
      <c r="K213" s="33" t="inlineStr">
        <is>
          <t>ROSEMOUNT</t>
        </is>
      </c>
      <c r="L213" s="33" t="inlineStr">
        <is>
          <t>3051 PT</t>
        </is>
      </c>
      <c r="M213" s="20" t="n">
        <v>9844806</v>
      </c>
      <c r="N213" s="2">
        <f>IF(E213="","Waiting","Calibrated")</f>
        <v/>
      </c>
      <c r="O213" s="2" t="n"/>
      <c r="P213" s="2" t="inlineStr">
        <is>
          <t>ZM06</t>
        </is>
      </c>
      <c r="Q213" s="2" t="n"/>
      <c r="R213" s="28" t="n"/>
      <c r="S213" s="28" t="n"/>
      <c r="T213" s="32" t="n"/>
    </row>
    <row r="214" ht="30" customFormat="1" customHeight="1" s="5">
      <c r="A214" s="17" t="n">
        <v>212</v>
      </c>
      <c r="B214" s="17" t="inlineStr">
        <is>
          <t>KIPP11</t>
        </is>
      </c>
      <c r="C214" s="2" t="inlineStr">
        <is>
          <t>11MBL51CP012</t>
        </is>
      </c>
      <c r="D214" s="14" t="inlineStr">
        <is>
          <t>DP FINE FLTR STAGE</t>
        </is>
      </c>
      <c r="E214" s="37" t="n">
        <v>46043</v>
      </c>
      <c r="F214" s="103" t="n">
        <v>-621.6</v>
      </c>
      <c r="G214" s="103" t="n">
        <v>621.6</v>
      </c>
      <c r="H214" s="103" t="n">
        <v>0</v>
      </c>
      <c r="I214" s="103" t="n">
        <v>2500</v>
      </c>
      <c r="J214" s="4" t="inlineStr">
        <is>
          <t>Pa</t>
        </is>
      </c>
      <c r="K214" s="33" t="inlineStr">
        <is>
          <t>ROSEMOUNT</t>
        </is>
      </c>
      <c r="L214" s="33" t="inlineStr">
        <is>
          <t>3051 PT</t>
        </is>
      </c>
      <c r="M214" s="20" t="n">
        <v>9844807</v>
      </c>
      <c r="N214" s="2">
        <f>IF(E214="","Waiting","Calibrated")</f>
        <v/>
      </c>
      <c r="O214" s="2" t="n"/>
      <c r="P214" s="2" t="inlineStr">
        <is>
          <t>ZM06</t>
        </is>
      </c>
      <c r="Q214" s="2" t="n"/>
      <c r="R214" s="28" t="n"/>
      <c r="S214" s="28" t="n"/>
      <c r="T214" s="32" t="n"/>
    </row>
    <row r="215" ht="30" customFormat="1" customHeight="1" s="5">
      <c r="A215" s="17" t="n">
        <v>213</v>
      </c>
      <c r="B215" s="17" t="inlineStr">
        <is>
          <t>KIPP11</t>
        </is>
      </c>
      <c r="C215" s="2" t="inlineStr">
        <is>
          <t>11MBL61CP010</t>
        </is>
      </c>
      <c r="D215" s="14" t="inlineStr">
        <is>
          <t>EVAP COOLER PUMP AFTER PRESSURE</t>
        </is>
      </c>
      <c r="E215" s="37" t="n">
        <v>46043</v>
      </c>
      <c r="F215" s="103" t="n">
        <v>-621.6</v>
      </c>
      <c r="G215" s="103" t="n">
        <v>621.6</v>
      </c>
      <c r="H215" s="103" t="n">
        <v>0</v>
      </c>
      <c r="I215" s="103" t="n">
        <v>2500</v>
      </c>
      <c r="J215" s="4" t="inlineStr">
        <is>
          <t>Pa</t>
        </is>
      </c>
      <c r="K215" s="19" t="inlineStr">
        <is>
          <t>ROSEMOUNT</t>
        </is>
      </c>
      <c r="L215" s="19" t="inlineStr">
        <is>
          <t>3051CD</t>
        </is>
      </c>
      <c r="M215" s="20" t="n">
        <v>9852954</v>
      </c>
      <c r="N215" s="2">
        <f>IF(E215="","Waiting","Calibrated")</f>
        <v/>
      </c>
      <c r="O215" s="2" t="n"/>
      <c r="P215" s="2" t="inlineStr">
        <is>
          <t>ZM06</t>
        </is>
      </c>
      <c r="Q215" s="2" t="n"/>
      <c r="R215" s="28" t="n"/>
      <c r="S215" s="28" t="n"/>
      <c r="T215" s="32" t="n"/>
    </row>
    <row r="216" ht="30" customFormat="1" customHeight="1" s="5">
      <c r="A216" s="17" t="n">
        <v>214</v>
      </c>
      <c r="B216" s="17" t="inlineStr">
        <is>
          <t>KIPP11</t>
        </is>
      </c>
      <c r="C216" s="2" t="inlineStr">
        <is>
          <t>11MBP01CP003</t>
        </is>
      </c>
      <c r="D216" s="14" t="inlineStr">
        <is>
          <t>FUEL GAS FILTER DP</t>
        </is>
      </c>
      <c r="E216" s="37" t="n">
        <v>46043</v>
      </c>
      <c r="F216" s="103" t="n">
        <v>-2.4864</v>
      </c>
      <c r="G216" s="103" t="n">
        <v>2.4864</v>
      </c>
      <c r="H216" s="103" t="n">
        <v>0</v>
      </c>
      <c r="I216" s="103" t="n">
        <v>1.5</v>
      </c>
      <c r="J216" s="4" t="inlineStr">
        <is>
          <t>Bar</t>
        </is>
      </c>
      <c r="K216" s="33" t="inlineStr">
        <is>
          <t>ROSEMOUNT</t>
        </is>
      </c>
      <c r="L216" s="33" t="inlineStr">
        <is>
          <t>3051 PT</t>
        </is>
      </c>
      <c r="M216" s="20" t="n">
        <v>9789262</v>
      </c>
      <c r="N216" s="2">
        <f>IF(E216="","Waiting","Calibrated")</f>
        <v/>
      </c>
      <c r="O216" s="2" t="n"/>
      <c r="P216" s="2" t="inlineStr">
        <is>
          <t>ZM06</t>
        </is>
      </c>
      <c r="Q216" s="2" t="n"/>
      <c r="R216" s="28" t="n"/>
      <c r="S216" s="28" t="n"/>
      <c r="T216" s="32" t="n"/>
    </row>
    <row r="217" ht="30" customFormat="1" customHeight="1" s="5">
      <c r="A217" s="17" t="n">
        <v>215</v>
      </c>
      <c r="B217" s="17" t="inlineStr">
        <is>
          <t>KIPP11</t>
        </is>
      </c>
      <c r="C217" s="2" t="inlineStr">
        <is>
          <t>11MBP05CP102</t>
        </is>
      </c>
      <c r="D217" s="14" t="inlineStr">
        <is>
          <t>EV FUEL GAS FLOW PT</t>
        </is>
      </c>
      <c r="E217" s="37" t="n">
        <v>46043</v>
      </c>
      <c r="F217" s="103" t="n">
        <v>0</v>
      </c>
      <c r="G217" s="103" t="n">
        <v>55.16</v>
      </c>
      <c r="H217" s="103" t="n">
        <v>0</v>
      </c>
      <c r="I217" s="103" t="n">
        <v>55</v>
      </c>
      <c r="J217" s="4" t="inlineStr">
        <is>
          <t>Bar</t>
        </is>
      </c>
      <c r="K217" s="33" t="inlineStr">
        <is>
          <t>ROSEMOUNT</t>
        </is>
      </c>
      <c r="L217" s="33" t="inlineStr">
        <is>
          <t>3051 PT</t>
        </is>
      </c>
      <c r="M217" s="20" t="n">
        <v>9846441</v>
      </c>
      <c r="N217" s="2">
        <f>IF(E217="","Waiting","Calibrated")</f>
        <v/>
      </c>
      <c r="O217" s="2" t="n"/>
      <c r="P217" s="2" t="inlineStr">
        <is>
          <t>ZM06</t>
        </is>
      </c>
      <c r="Q217" s="2" t="n"/>
      <c r="R217" s="28" t="n"/>
      <c r="S217" s="28" t="n"/>
      <c r="T217" s="32" t="inlineStr">
        <is>
          <t>Atm. Basıncı 0,935 Bar</t>
        </is>
      </c>
    </row>
    <row r="218" ht="30" customFormat="1" customHeight="1" s="5">
      <c r="A218" s="17" t="n">
        <v>216</v>
      </c>
      <c r="B218" s="17" t="inlineStr">
        <is>
          <t>KIPP11</t>
        </is>
      </c>
      <c r="C218" s="2" t="inlineStr">
        <is>
          <t>11MBP41CP001</t>
        </is>
      </c>
      <c r="D218" s="14" t="inlineStr">
        <is>
          <t>P AFT TRIP SOV EV</t>
        </is>
      </c>
      <c r="E218" s="37" t="n">
        <v>46043</v>
      </c>
      <c r="F218" s="103" t="n">
        <v>-137.89</v>
      </c>
      <c r="G218" s="103" t="n">
        <v>137.89</v>
      </c>
      <c r="H218" s="103" t="n">
        <v>0</v>
      </c>
      <c r="I218" s="103" t="n">
        <v>70</v>
      </c>
      <c r="J218" s="4" t="inlineStr">
        <is>
          <t>Bar</t>
        </is>
      </c>
      <c r="K218" s="33" t="inlineStr">
        <is>
          <t>ROSEMOUNT</t>
        </is>
      </c>
      <c r="L218" s="33" t="inlineStr">
        <is>
          <t>3051 PT</t>
        </is>
      </c>
      <c r="M218" s="20" t="n">
        <v>9782024</v>
      </c>
      <c r="N218" s="2">
        <f>IF(E218="","Waiting","Calibrated")</f>
        <v/>
      </c>
      <c r="O218" s="2" t="n"/>
      <c r="P218" s="2" t="inlineStr">
        <is>
          <t>ZM06</t>
        </is>
      </c>
      <c r="Q218" s="2" t="n"/>
      <c r="R218" s="28" t="n"/>
      <c r="S218" s="28" t="n"/>
      <c r="T218" s="32" t="n"/>
    </row>
    <row r="219" ht="30" customFormat="1" customHeight="1" s="5">
      <c r="A219" s="17" t="n">
        <v>217</v>
      </c>
      <c r="B219" s="17" t="inlineStr">
        <is>
          <t>KIPP11</t>
        </is>
      </c>
      <c r="C219" s="2" t="inlineStr">
        <is>
          <t>11MBP41CP004</t>
        </is>
      </c>
      <c r="D219" s="14" t="inlineStr">
        <is>
          <t>DP CV EV STG2</t>
        </is>
      </c>
      <c r="E219" s="37" t="n">
        <v>46043</v>
      </c>
      <c r="F219" s="103" t="n">
        <v>-137.89</v>
      </c>
      <c r="G219" s="103" t="n">
        <v>137.89</v>
      </c>
      <c r="H219" s="103" t="n">
        <v>0</v>
      </c>
      <c r="I219" s="103" t="n">
        <v>70</v>
      </c>
      <c r="J219" s="4" t="inlineStr">
        <is>
          <t>Bar</t>
        </is>
      </c>
      <c r="K219" s="33" t="inlineStr">
        <is>
          <t>ROSEMOUNT</t>
        </is>
      </c>
      <c r="L219" s="33" t="inlineStr">
        <is>
          <t>3051 PT</t>
        </is>
      </c>
      <c r="M219" s="20" t="n">
        <v>9782030</v>
      </c>
      <c r="N219" s="2">
        <f>IF(E219="","Waiting","Calibrated")</f>
        <v/>
      </c>
      <c r="O219" s="2" t="n"/>
      <c r="P219" s="2" t="inlineStr">
        <is>
          <t>ZM06</t>
        </is>
      </c>
      <c r="Q219" s="2" t="n"/>
      <c r="R219" s="28" t="n"/>
      <c r="S219" s="28" t="n"/>
      <c r="T219" s="32" t="n"/>
    </row>
    <row r="220" ht="30" customFormat="1" customHeight="1" s="5">
      <c r="A220" s="17" t="n">
        <v>218</v>
      </c>
      <c r="B220" s="17" t="inlineStr">
        <is>
          <t>KIPP11</t>
        </is>
      </c>
      <c r="C220" s="2" t="inlineStr">
        <is>
          <t>11MBP41CP006</t>
        </is>
      </c>
      <c r="D220" s="14" t="inlineStr">
        <is>
          <t>P AFT CV FGAS EV</t>
        </is>
      </c>
      <c r="E220" s="37" t="n">
        <v>46043</v>
      </c>
      <c r="F220" s="103" t="n">
        <v>-137.89</v>
      </c>
      <c r="G220" s="103" t="n">
        <v>137.89</v>
      </c>
      <c r="H220" s="103" t="n">
        <v>0</v>
      </c>
      <c r="I220" s="103" t="n">
        <v>70</v>
      </c>
      <c r="J220" s="4" t="inlineStr">
        <is>
          <t>Bar</t>
        </is>
      </c>
      <c r="K220" s="33" t="inlineStr">
        <is>
          <t>ROSEMOUNT</t>
        </is>
      </c>
      <c r="L220" s="33" t="inlineStr">
        <is>
          <t>3051 PT</t>
        </is>
      </c>
      <c r="M220" s="20" t="n">
        <v>9782025</v>
      </c>
      <c r="N220" s="2">
        <f>IF(E220="","Waiting","Calibrated")</f>
        <v/>
      </c>
      <c r="O220" s="2" t="n"/>
      <c r="P220" s="2" t="inlineStr">
        <is>
          <t>ZM06</t>
        </is>
      </c>
      <c r="Q220" s="2" t="n"/>
      <c r="R220" s="28" t="n"/>
      <c r="S220" s="28" t="n"/>
      <c r="T220" s="32" t="n"/>
    </row>
    <row r="221" ht="30" customFormat="1" customHeight="1" s="5">
      <c r="A221" s="17" t="n">
        <v>219</v>
      </c>
      <c r="B221" s="17" t="inlineStr">
        <is>
          <t>KIPP11</t>
        </is>
      </c>
      <c r="C221" s="2" t="inlineStr">
        <is>
          <t>11MBP42CP001</t>
        </is>
      </c>
      <c r="D221" s="14" t="inlineStr">
        <is>
          <t>P BEF FGAS TRIP SOV SEV</t>
        </is>
      </c>
      <c r="E221" s="37" t="n">
        <v>46043</v>
      </c>
      <c r="F221" s="103" t="n">
        <v>-137.89</v>
      </c>
      <c r="G221" s="103" t="n">
        <v>137.89</v>
      </c>
      <c r="H221" s="103" t="n">
        <v>0</v>
      </c>
      <c r="I221" s="103" t="n">
        <v>70</v>
      </c>
      <c r="J221" s="4" t="inlineStr">
        <is>
          <t>Bar</t>
        </is>
      </c>
      <c r="K221" s="33" t="inlineStr">
        <is>
          <t>ROSEMOUNT</t>
        </is>
      </c>
      <c r="L221" s="33" t="inlineStr">
        <is>
          <t>3051 PT</t>
        </is>
      </c>
      <c r="M221" s="20" t="n">
        <v>9782026</v>
      </c>
      <c r="N221" s="2">
        <f>IF(E221="","Waiting","Calibrated")</f>
        <v/>
      </c>
      <c r="O221" s="2" t="n"/>
      <c r="P221" s="2" t="inlineStr">
        <is>
          <t>ZM06</t>
        </is>
      </c>
      <c r="Q221" s="2" t="n"/>
      <c r="R221" s="28" t="n"/>
      <c r="S221" s="28" t="n"/>
      <c r="T221" s="32" t="n"/>
    </row>
    <row r="222" ht="30" customFormat="1" customHeight="1" s="5">
      <c r="A222" s="17" t="n">
        <v>220</v>
      </c>
      <c r="B222" s="17" t="inlineStr">
        <is>
          <t>KIPP11</t>
        </is>
      </c>
      <c r="C222" s="2" t="inlineStr">
        <is>
          <t>11MBP42CP004</t>
        </is>
      </c>
      <c r="D222" s="14" t="inlineStr">
        <is>
          <t>DP CV FGAS SEV</t>
        </is>
      </c>
      <c r="E222" s="37" t="n">
        <v>46043</v>
      </c>
      <c r="F222" s="103" t="n">
        <v>-137.89</v>
      </c>
      <c r="G222" s="103" t="n">
        <v>137.89</v>
      </c>
      <c r="H222" s="103" t="n">
        <v>0</v>
      </c>
      <c r="I222" s="103" t="n">
        <v>70</v>
      </c>
      <c r="J222" s="4" t="inlineStr">
        <is>
          <t>Bar</t>
        </is>
      </c>
      <c r="K222" s="33" t="inlineStr">
        <is>
          <t>ROSEMOUNT</t>
        </is>
      </c>
      <c r="L222" s="33" t="inlineStr">
        <is>
          <t>3051 PT</t>
        </is>
      </c>
      <c r="M222" s="20" t="n">
        <v>9782031</v>
      </c>
      <c r="N222" s="2">
        <f>IF(E222="","Waiting","Calibrated")</f>
        <v/>
      </c>
      <c r="O222" s="2" t="n"/>
      <c r="P222" s="2" t="inlineStr">
        <is>
          <t>ZM06</t>
        </is>
      </c>
      <c r="Q222" s="2" t="n"/>
      <c r="R222" s="28" t="n"/>
      <c r="S222" s="28" t="n"/>
      <c r="T222" s="32" t="n"/>
    </row>
    <row r="223" ht="30" customFormat="1" customHeight="1" s="5">
      <c r="A223" s="17" t="n">
        <v>221</v>
      </c>
      <c r="B223" s="17" t="inlineStr">
        <is>
          <t>KIPP11</t>
        </is>
      </c>
      <c r="C223" s="2" t="inlineStr">
        <is>
          <t>11MBP42CP006</t>
        </is>
      </c>
      <c r="D223" s="14" t="inlineStr">
        <is>
          <t>P AFT CV FGAS SEV</t>
        </is>
      </c>
      <c r="E223" s="37" t="n">
        <v>46043</v>
      </c>
      <c r="F223" s="103" t="n">
        <v>-137.89</v>
      </c>
      <c r="G223" s="103" t="n">
        <v>137.89</v>
      </c>
      <c r="H223" s="103" t="n">
        <v>0</v>
      </c>
      <c r="I223" s="103" t="n">
        <v>70</v>
      </c>
      <c r="J223" s="4" t="inlineStr">
        <is>
          <t>Bar</t>
        </is>
      </c>
      <c r="K223" s="33" t="inlineStr">
        <is>
          <t>ROSEMOUNT</t>
        </is>
      </c>
      <c r="L223" s="33" t="inlineStr">
        <is>
          <t>3051 PT</t>
        </is>
      </c>
      <c r="M223" s="20" t="n">
        <v>9782027</v>
      </c>
      <c r="N223" s="2">
        <f>IF(E223="","Waiting","Calibrated")</f>
        <v/>
      </c>
      <c r="O223" s="2" t="n"/>
      <c r="P223" s="2" t="inlineStr">
        <is>
          <t>ZM06</t>
        </is>
      </c>
      <c r="Q223" s="2" t="n"/>
      <c r="R223" s="28" t="n"/>
      <c r="S223" s="28" t="n"/>
      <c r="T223" s="32" t="n"/>
    </row>
    <row r="224" ht="30" customFormat="1" customHeight="1" s="5">
      <c r="A224" s="17" t="n">
        <v>222</v>
      </c>
      <c r="B224" s="17" t="inlineStr">
        <is>
          <t>KIPP11</t>
        </is>
      </c>
      <c r="C224" s="2" t="inlineStr">
        <is>
          <t>11MBP43CP001</t>
        </is>
      </c>
      <c r="D224" s="14" t="inlineStr">
        <is>
          <t>P BFR CV EV STG1 FGAS</t>
        </is>
      </c>
      <c r="E224" s="37" t="n">
        <v>46043</v>
      </c>
      <c r="F224" s="103" t="n">
        <v>-137.89</v>
      </c>
      <c r="G224" s="103" t="n">
        <v>137.89</v>
      </c>
      <c r="H224" s="103" t="n">
        <v>0</v>
      </c>
      <c r="I224" s="103" t="n">
        <v>70</v>
      </c>
      <c r="J224" s="4" t="inlineStr">
        <is>
          <t>Bar</t>
        </is>
      </c>
      <c r="K224" s="33" t="inlineStr">
        <is>
          <t>ROSEMOUNT</t>
        </is>
      </c>
      <c r="L224" s="33" t="inlineStr">
        <is>
          <t>3051 PT</t>
        </is>
      </c>
      <c r="M224" s="20" t="n">
        <v>9782028</v>
      </c>
      <c r="N224" s="2">
        <f>IF(E224="","Waiting","Calibrated")</f>
        <v/>
      </c>
      <c r="O224" s="2" t="n"/>
      <c r="P224" s="2" t="inlineStr">
        <is>
          <t>ZM06</t>
        </is>
      </c>
      <c r="Q224" s="2" t="n"/>
      <c r="R224" s="28" t="n"/>
      <c r="S224" s="28" t="n"/>
      <c r="T224" s="32" t="n"/>
    </row>
    <row r="225" ht="30" customFormat="1" customHeight="1" s="5">
      <c r="A225" s="17" t="n">
        <v>223</v>
      </c>
      <c r="B225" s="17" t="inlineStr">
        <is>
          <t>KIPP11</t>
        </is>
      </c>
      <c r="C225" s="2" t="inlineStr">
        <is>
          <t>11MBP43CP004</t>
        </is>
      </c>
      <c r="D225" s="14" t="inlineStr">
        <is>
          <t>DP CV EVSTG1 FGAS</t>
        </is>
      </c>
      <c r="E225" s="37" t="n">
        <v>46043</v>
      </c>
      <c r="F225" s="103" t="n">
        <v>-137.89</v>
      </c>
      <c r="G225" s="103" t="n">
        <v>137.89</v>
      </c>
      <c r="H225" s="103" t="n">
        <v>0</v>
      </c>
      <c r="I225" s="103" t="n">
        <v>70</v>
      </c>
      <c r="J225" s="4" t="inlineStr">
        <is>
          <t>Bar</t>
        </is>
      </c>
      <c r="K225" s="33" t="inlineStr">
        <is>
          <t>ROSEMOUNT</t>
        </is>
      </c>
      <c r="L225" s="33" t="inlineStr">
        <is>
          <t>3051 PT</t>
        </is>
      </c>
      <c r="M225" s="20" t="n">
        <v>9782032</v>
      </c>
      <c r="N225" s="2">
        <f>IF(E225="","Waiting","Calibrated")</f>
        <v/>
      </c>
      <c r="O225" s="2" t="n"/>
      <c r="P225" s="2" t="inlineStr">
        <is>
          <t>ZM06</t>
        </is>
      </c>
      <c r="Q225" s="2" t="n"/>
      <c r="R225" s="28" t="n"/>
      <c r="S225" s="28" t="n"/>
      <c r="T225" s="32" t="n"/>
    </row>
    <row r="226" ht="30" customFormat="1" customHeight="1" s="5">
      <c r="A226" s="17" t="n">
        <v>224</v>
      </c>
      <c r="B226" s="17" t="inlineStr">
        <is>
          <t>KIPP11</t>
        </is>
      </c>
      <c r="C226" s="2" t="inlineStr">
        <is>
          <t>11MBP43CP006</t>
        </is>
      </c>
      <c r="D226" s="14" t="inlineStr">
        <is>
          <t>P AFT CV EV STG1 FGAS</t>
        </is>
      </c>
      <c r="E226" s="37" t="n">
        <v>46043</v>
      </c>
      <c r="F226" s="103" t="n">
        <v>-137.89</v>
      </c>
      <c r="G226" s="103" t="n">
        <v>137.89</v>
      </c>
      <c r="H226" s="103" t="n">
        <v>0</v>
      </c>
      <c r="I226" s="103" t="n">
        <v>70</v>
      </c>
      <c r="J226" s="4" t="inlineStr">
        <is>
          <t>Bar</t>
        </is>
      </c>
      <c r="K226" s="33" t="inlineStr">
        <is>
          <t>ROSEMOUNT</t>
        </is>
      </c>
      <c r="L226" s="33" t="inlineStr">
        <is>
          <t>3051 PT</t>
        </is>
      </c>
      <c r="M226" s="20" t="n">
        <v>9782029</v>
      </c>
      <c r="N226" s="2">
        <f>IF(E226="","Waiting","Calibrated")</f>
        <v/>
      </c>
      <c r="O226" s="2" t="n"/>
      <c r="P226" s="2" t="inlineStr">
        <is>
          <t>ZM06</t>
        </is>
      </c>
      <c r="Q226" s="2" t="n"/>
      <c r="R226" s="28" t="n"/>
      <c r="S226" s="28" t="n"/>
      <c r="T226" s="32" t="n"/>
    </row>
    <row r="227" ht="30" customFormat="1" customHeight="1" s="5">
      <c r="A227" s="17" t="n">
        <v>225</v>
      </c>
      <c r="B227" s="17" t="inlineStr">
        <is>
          <t>KIPP11</t>
        </is>
      </c>
      <c r="C227" s="2" t="inlineStr">
        <is>
          <t>11MBV10CP001</t>
        </is>
      </c>
      <c r="D227" s="14" t="inlineStr">
        <is>
          <t>PRESSURE LUBE OIL TANK</t>
        </is>
      </c>
      <c r="E227" s="37" t="n">
        <v>46044</v>
      </c>
      <c r="F227" s="103" t="n">
        <v>-621.6</v>
      </c>
      <c r="G227" s="103" t="n">
        <v>621.6</v>
      </c>
      <c r="H227" s="103" t="n">
        <v>0</v>
      </c>
      <c r="I227" s="103" t="n">
        <v>60</v>
      </c>
      <c r="J227" s="4" t="inlineStr">
        <is>
          <t>mBar</t>
        </is>
      </c>
      <c r="K227" s="19" t="inlineStr">
        <is>
          <t>ROSEMOUNT</t>
        </is>
      </c>
      <c r="L227" s="19" t="inlineStr">
        <is>
          <t>3051 PT</t>
        </is>
      </c>
      <c r="M227" s="20" t="n">
        <v>9781969</v>
      </c>
      <c r="N227" s="2">
        <f>IF(E227="","Waiting","Calibrated")</f>
        <v/>
      </c>
      <c r="O227" s="2" t="n"/>
      <c r="P227" s="2" t="inlineStr">
        <is>
          <t>ZM06</t>
        </is>
      </c>
      <c r="Q227" s="2" t="n"/>
      <c r="R227" s="28" t="n"/>
      <c r="S227" s="28" t="n"/>
      <c r="T227" s="32" t="n"/>
    </row>
    <row r="228" ht="30" customFormat="1" customHeight="1" s="5">
      <c r="A228" s="17" t="n">
        <v>226</v>
      </c>
      <c r="B228" s="17" t="inlineStr">
        <is>
          <t>KIPP11</t>
        </is>
      </c>
      <c r="C228" s="2" t="inlineStr">
        <is>
          <t>11MBV21CP001</t>
        </is>
      </c>
      <c r="D228" s="14" t="inlineStr">
        <is>
          <t>P AFT LUBE OIL PMP 1</t>
        </is>
      </c>
      <c r="E228" s="37" t="n">
        <v>46044</v>
      </c>
      <c r="F228" s="103" t="n">
        <v>-1.013</v>
      </c>
      <c r="G228" s="103" t="n">
        <v>10.342</v>
      </c>
      <c r="H228" s="103" t="n">
        <v>0</v>
      </c>
      <c r="I228" s="103" t="n">
        <v>10</v>
      </c>
      <c r="J228" s="4" t="inlineStr">
        <is>
          <t>Bar</t>
        </is>
      </c>
      <c r="K228" s="19" t="inlineStr">
        <is>
          <t>ROSEMOUNT</t>
        </is>
      </c>
      <c r="L228" s="19" t="inlineStr">
        <is>
          <t>2088 PT</t>
        </is>
      </c>
      <c r="M228" s="20" t="n">
        <v>9791817</v>
      </c>
      <c r="N228" s="2">
        <f>IF(E228="","Waiting","Calibrated")</f>
        <v/>
      </c>
      <c r="O228" s="2" t="n"/>
      <c r="P228" s="2" t="inlineStr">
        <is>
          <t>ZM06</t>
        </is>
      </c>
      <c r="Q228" s="2" t="n"/>
      <c r="R228" s="28" t="n"/>
      <c r="S228" s="28" t="n"/>
      <c r="T228" s="32" t="n"/>
    </row>
    <row r="229" ht="30" customFormat="1" customHeight="1" s="5">
      <c r="A229" s="17" t="n">
        <v>227</v>
      </c>
      <c r="B229" s="17" t="inlineStr">
        <is>
          <t>KIPP11</t>
        </is>
      </c>
      <c r="C229" s="2" t="inlineStr">
        <is>
          <t>11MBV21CP002</t>
        </is>
      </c>
      <c r="D229" s="14" t="inlineStr">
        <is>
          <t>P AFT LUBE OIL PMP 2</t>
        </is>
      </c>
      <c r="E229" s="37" t="n">
        <v>46044</v>
      </c>
      <c r="F229" s="103" t="n">
        <v>-1.013</v>
      </c>
      <c r="G229" s="103" t="n">
        <v>10.342</v>
      </c>
      <c r="H229" s="103" t="n">
        <v>0</v>
      </c>
      <c r="I229" s="103" t="n">
        <v>10</v>
      </c>
      <c r="J229" s="4" t="inlineStr">
        <is>
          <t>Bar</t>
        </is>
      </c>
      <c r="K229" s="19" t="inlineStr">
        <is>
          <t>ROSEMOUNT</t>
        </is>
      </c>
      <c r="L229" s="19" t="inlineStr">
        <is>
          <t>2088 PT</t>
        </is>
      </c>
      <c r="M229" s="20" t="n">
        <v>9791818</v>
      </c>
      <c r="N229" s="2">
        <f>IF(E229="","Waiting","Calibrated")</f>
        <v/>
      </c>
      <c r="O229" s="2" t="n"/>
      <c r="P229" s="2" t="inlineStr">
        <is>
          <t>ZM06</t>
        </is>
      </c>
      <c r="Q229" s="2" t="n"/>
      <c r="R229" s="28" t="n"/>
      <c r="S229" s="28" t="n"/>
      <c r="T229" s="32" t="n"/>
    </row>
    <row r="230" ht="30" customFormat="1" customHeight="1" s="5">
      <c r="A230" s="17" t="n">
        <v>228</v>
      </c>
      <c r="B230" s="17" t="inlineStr">
        <is>
          <t>KIPP11</t>
        </is>
      </c>
      <c r="C230" s="2" t="inlineStr">
        <is>
          <t>11MBV21CP003</t>
        </is>
      </c>
      <c r="D230" s="14" t="inlineStr">
        <is>
          <t>LUBE OIL FILTER DP</t>
        </is>
      </c>
      <c r="E230" s="37" t="n">
        <v>46044</v>
      </c>
      <c r="F230" s="103" t="n">
        <v>-2.4864</v>
      </c>
      <c r="G230" s="103" t="n">
        <v>2.4864</v>
      </c>
      <c r="H230" s="103" t="n">
        <v>-2.5</v>
      </c>
      <c r="I230" s="103" t="n">
        <v>2.5</v>
      </c>
      <c r="J230" s="4" t="inlineStr">
        <is>
          <t>Bar</t>
        </is>
      </c>
      <c r="K230" s="19" t="inlineStr">
        <is>
          <t>ROSEMOUNT</t>
        </is>
      </c>
      <c r="L230" s="19" t="inlineStr">
        <is>
          <t>3051 PT</t>
        </is>
      </c>
      <c r="M230" s="20" t="n">
        <v>9781970</v>
      </c>
      <c r="N230" s="2">
        <f>IF(E230="","Waiting","Calibrated")</f>
        <v/>
      </c>
      <c r="O230" s="2" t="n"/>
      <c r="P230" s="2" t="inlineStr">
        <is>
          <t>ZM06</t>
        </is>
      </c>
      <c r="Q230" s="2" t="n"/>
      <c r="R230" s="28" t="n"/>
      <c r="S230" s="28" t="n"/>
      <c r="T230" s="32" t="n"/>
    </row>
    <row r="231" ht="30" customFormat="1" customHeight="1" s="5">
      <c r="A231" s="17" t="n">
        <v>229</v>
      </c>
      <c r="B231" s="17" t="inlineStr">
        <is>
          <t>KIPP11</t>
        </is>
      </c>
      <c r="C231" s="2" t="inlineStr">
        <is>
          <t>11MBV22CP001</t>
        </is>
      </c>
      <c r="D231" s="14" t="inlineStr">
        <is>
          <t>EMERGENCY LUBE OIL PUMP AFTER PRESSURE</t>
        </is>
      </c>
      <c r="E231" s="37" t="n">
        <v>46044</v>
      </c>
      <c r="F231" s="103" t="n">
        <v>-1.013</v>
      </c>
      <c r="G231" s="103" t="n">
        <v>10.342</v>
      </c>
      <c r="H231" s="103" t="n">
        <v>0</v>
      </c>
      <c r="I231" s="103" t="n">
        <v>10</v>
      </c>
      <c r="J231" s="4" t="inlineStr">
        <is>
          <t>Bar</t>
        </is>
      </c>
      <c r="K231" s="19" t="inlineStr">
        <is>
          <t>ROSEMOUNT</t>
        </is>
      </c>
      <c r="L231" s="19" t="inlineStr">
        <is>
          <t>2088 PT</t>
        </is>
      </c>
      <c r="M231" s="20" t="n">
        <v>9791819</v>
      </c>
      <c r="N231" s="2">
        <f>IF(E231="","Waiting","Calibrated")</f>
        <v/>
      </c>
      <c r="O231" s="2" t="n"/>
      <c r="P231" s="2" t="inlineStr">
        <is>
          <t>ZM06</t>
        </is>
      </c>
      <c r="Q231" s="2" t="n"/>
      <c r="R231" s="28" t="n"/>
      <c r="S231" s="28" t="n"/>
      <c r="T231" s="32" t="n"/>
    </row>
    <row r="232" ht="30" customFormat="1" customHeight="1" s="5">
      <c r="A232" s="17" t="n">
        <v>230</v>
      </c>
      <c r="B232" s="17" t="inlineStr">
        <is>
          <t>KIPP11</t>
        </is>
      </c>
      <c r="C232" s="2" t="inlineStr">
        <is>
          <t>11MBV40CP001</t>
        </is>
      </c>
      <c r="D232" s="14" t="inlineStr">
        <is>
          <t>LUBE OIL HEADER PRESSURE</t>
        </is>
      </c>
      <c r="E232" s="37" t="n">
        <v>46044</v>
      </c>
      <c r="F232" s="103" t="n">
        <v>-1.013</v>
      </c>
      <c r="G232" s="103" t="n">
        <v>10.342</v>
      </c>
      <c r="H232" s="103" t="n">
        <v>0</v>
      </c>
      <c r="I232" s="103" t="n">
        <v>10</v>
      </c>
      <c r="J232" s="4" t="inlineStr">
        <is>
          <t>Bar</t>
        </is>
      </c>
      <c r="K232" s="19" t="inlineStr">
        <is>
          <t>ROSEMOUNT</t>
        </is>
      </c>
      <c r="L232" s="19" t="inlineStr">
        <is>
          <t>2088 PT</t>
        </is>
      </c>
      <c r="M232" s="20" t="n">
        <v>9791820</v>
      </c>
      <c r="N232" s="2">
        <f>IF(E232="","Waiting","Calibrated")</f>
        <v/>
      </c>
      <c r="O232" s="2" t="n"/>
      <c r="P232" s="2" t="inlineStr">
        <is>
          <t>ZM06</t>
        </is>
      </c>
      <c r="Q232" s="2" t="n"/>
      <c r="R232" s="28" t="n"/>
      <c r="S232" s="28" t="n"/>
      <c r="T232" s="32" t="n"/>
    </row>
    <row r="233" ht="30" customFormat="1" customHeight="1" s="5">
      <c r="A233" s="17" t="n">
        <v>231</v>
      </c>
      <c r="B233" s="17" t="inlineStr">
        <is>
          <t>KIPP11</t>
        </is>
      </c>
      <c r="C233" s="2" t="inlineStr">
        <is>
          <t>11MBV40CP002</t>
        </is>
      </c>
      <c r="D233" s="14" t="inlineStr">
        <is>
          <t>LUBE OIL HEADER PRESSURE</t>
        </is>
      </c>
      <c r="E233" s="37" t="n">
        <v>46044</v>
      </c>
      <c r="F233" s="103" t="n">
        <v>-1.013</v>
      </c>
      <c r="G233" s="103" t="n">
        <v>10.342</v>
      </c>
      <c r="H233" s="103" t="n">
        <v>0</v>
      </c>
      <c r="I233" s="103" t="n">
        <v>10</v>
      </c>
      <c r="J233" s="4" t="inlineStr">
        <is>
          <t>Bar</t>
        </is>
      </c>
      <c r="K233" s="19" t="inlineStr">
        <is>
          <t>ROSEMOUNT</t>
        </is>
      </c>
      <c r="L233" s="19" t="inlineStr">
        <is>
          <t>2088 PT</t>
        </is>
      </c>
      <c r="M233" s="20" t="n">
        <v>9791821</v>
      </c>
      <c r="N233" s="2">
        <f>IF(E233="","Waiting","Calibrated")</f>
        <v/>
      </c>
      <c r="O233" s="2" t="n"/>
      <c r="P233" s="2" t="inlineStr">
        <is>
          <t>ZM06</t>
        </is>
      </c>
      <c r="Q233" s="2" t="n"/>
      <c r="R233" s="28" t="n"/>
      <c r="S233" s="28" t="n"/>
      <c r="T233" s="32" t="n"/>
    </row>
    <row r="234" ht="30" customFormat="1" customHeight="1" s="5">
      <c r="A234" s="17" t="n">
        <v>232</v>
      </c>
      <c r="B234" s="17" t="inlineStr">
        <is>
          <t>KIPP11</t>
        </is>
      </c>
      <c r="C234" s="2" t="inlineStr">
        <is>
          <t>11MBV40CP003</t>
        </is>
      </c>
      <c r="D234" s="14" t="inlineStr">
        <is>
          <t>LUBE OIL HEADER PRESSURE</t>
        </is>
      </c>
      <c r="E234" s="37" t="n">
        <v>46044</v>
      </c>
      <c r="F234" s="103" t="n">
        <v>-1.013</v>
      </c>
      <c r="G234" s="103" t="n">
        <v>10.342</v>
      </c>
      <c r="H234" s="103" t="n">
        <v>0</v>
      </c>
      <c r="I234" s="103" t="n">
        <v>10</v>
      </c>
      <c r="J234" s="4" t="inlineStr">
        <is>
          <t>Bar</t>
        </is>
      </c>
      <c r="K234" s="19" t="inlineStr">
        <is>
          <t>ROSEMOUNT</t>
        </is>
      </c>
      <c r="L234" s="19" t="inlineStr">
        <is>
          <t>2088 PT</t>
        </is>
      </c>
      <c r="M234" s="20" t="n">
        <v>9791822</v>
      </c>
      <c r="N234" s="2">
        <f>IF(E234="","Waiting","Calibrated")</f>
        <v/>
      </c>
      <c r="O234" s="2" t="n"/>
      <c r="P234" s="2" t="inlineStr">
        <is>
          <t>ZM06</t>
        </is>
      </c>
      <c r="Q234" s="2" t="n"/>
      <c r="R234" s="28" t="n"/>
      <c r="S234" s="28" t="n"/>
      <c r="T234" s="32" t="n"/>
    </row>
    <row r="235" ht="30" customFormat="1" customHeight="1" s="5">
      <c r="A235" s="17" t="n">
        <v>233</v>
      </c>
      <c r="B235" s="17" t="inlineStr">
        <is>
          <t>KIPP11</t>
        </is>
      </c>
      <c r="C235" s="2" t="inlineStr">
        <is>
          <t>11MBV40CP006</t>
        </is>
      </c>
      <c r="D235" s="14" t="inlineStr">
        <is>
          <t>P LUBE OIL HEADER 6  ( PRESSURE SWITCH )</t>
        </is>
      </c>
      <c r="E235" s="37" t="n">
        <v>46044</v>
      </c>
      <c r="F235" s="103" t="n">
        <v>0</v>
      </c>
      <c r="G235" s="103" t="n">
        <v>10</v>
      </c>
      <c r="H235" s="103" t="inlineStr">
        <is>
          <t>-</t>
        </is>
      </c>
      <c r="I235" s="103" t="n">
        <v>2.11</v>
      </c>
      <c r="J235" s="4" t="inlineStr">
        <is>
          <t>Bar</t>
        </is>
      </c>
      <c r="K235" s="19" t="inlineStr">
        <is>
          <t>TRAFOG</t>
        </is>
      </c>
      <c r="L235" s="19" t="inlineStr">
        <is>
          <t>Switch</t>
        </is>
      </c>
      <c r="M235" s="19" t="inlineStr">
        <is>
          <t>-</t>
        </is>
      </c>
      <c r="N235" s="2">
        <f>IF(E235="","Waiting","Calibrated")</f>
        <v/>
      </c>
      <c r="O235" s="2" t="n"/>
      <c r="P235" s="2" t="inlineStr">
        <is>
          <t>ZM06</t>
        </is>
      </c>
      <c r="Q235" s="2" t="n"/>
      <c r="R235" s="28" t="n"/>
      <c r="S235" s="28" t="n"/>
      <c r="T235" s="32" t="n"/>
    </row>
    <row r="236" ht="30" customFormat="1" customHeight="1" s="5">
      <c r="A236" s="17" t="n">
        <v>234</v>
      </c>
      <c r="B236" s="17" t="inlineStr">
        <is>
          <t>KIPP11</t>
        </is>
      </c>
      <c r="C236" s="2" t="inlineStr">
        <is>
          <t>11MBX21CP001</t>
        </is>
      </c>
      <c r="D236" s="14" t="inlineStr">
        <is>
          <t>P AFT PWR OIL PMP 2</t>
        </is>
      </c>
      <c r="E236" s="37" t="n">
        <v>46044</v>
      </c>
      <c r="F236" s="103" t="n">
        <v>-1.01</v>
      </c>
      <c r="G236" s="103" t="n">
        <v>55.16</v>
      </c>
      <c r="H236" s="103" t="n">
        <v>0</v>
      </c>
      <c r="I236" s="103" t="n">
        <v>52</v>
      </c>
      <c r="J236" s="4" t="inlineStr">
        <is>
          <t>Bar</t>
        </is>
      </c>
      <c r="K236" s="19" t="inlineStr">
        <is>
          <t>ROSEMOUNT</t>
        </is>
      </c>
      <c r="L236" s="19" t="inlineStr">
        <is>
          <t>2088 PT</t>
        </is>
      </c>
      <c r="M236" s="20" t="n">
        <v>9791823</v>
      </c>
      <c r="N236" s="2">
        <f>IF(E236="","Waiting","Calibrated")</f>
        <v/>
      </c>
      <c r="O236" s="2" t="n"/>
      <c r="P236" s="2" t="inlineStr">
        <is>
          <t>ZM06</t>
        </is>
      </c>
      <c r="Q236" s="2" t="n"/>
      <c r="R236" s="28" t="n"/>
      <c r="S236" s="28" t="n"/>
      <c r="T236" s="32" t="n"/>
    </row>
    <row r="237" ht="30" customFormat="1" customHeight="1" s="5">
      <c r="A237" s="17" t="n">
        <v>235</v>
      </c>
      <c r="B237" s="17" t="inlineStr">
        <is>
          <t>KIPP11</t>
        </is>
      </c>
      <c r="C237" s="2" t="inlineStr">
        <is>
          <t>11MBX21CP002</t>
        </is>
      </c>
      <c r="D237" s="14" t="inlineStr">
        <is>
          <t>P AFT PWR OIL PMP 1</t>
        </is>
      </c>
      <c r="E237" s="37" t="n">
        <v>46044</v>
      </c>
      <c r="F237" s="103" t="n">
        <v>-1.01</v>
      </c>
      <c r="G237" s="103" t="n">
        <v>55.16</v>
      </c>
      <c r="H237" s="103" t="n">
        <v>0</v>
      </c>
      <c r="I237" s="103" t="n">
        <v>52</v>
      </c>
      <c r="J237" s="4" t="inlineStr">
        <is>
          <t>Bar</t>
        </is>
      </c>
      <c r="K237" s="19" t="inlineStr">
        <is>
          <t>ROSEMOUNT</t>
        </is>
      </c>
      <c r="L237" s="19" t="inlineStr">
        <is>
          <t>2088 PT</t>
        </is>
      </c>
      <c r="M237" s="20" t="n">
        <v>9791824</v>
      </c>
      <c r="N237" s="2">
        <f>IF(E237="","Waiting","Calibrated")</f>
        <v/>
      </c>
      <c r="O237" s="2" t="n"/>
      <c r="P237" s="2" t="inlineStr">
        <is>
          <t>ZM06</t>
        </is>
      </c>
      <c r="Q237" s="2" t="n"/>
      <c r="R237" s="28" t="n"/>
      <c r="S237" s="28" t="n"/>
      <c r="T237" s="32" t="n"/>
    </row>
    <row r="238" ht="30" customFormat="1" customHeight="1" s="5">
      <c r="A238" s="17" t="n">
        <v>236</v>
      </c>
      <c r="B238" s="17" t="inlineStr">
        <is>
          <t>KIPP11</t>
        </is>
      </c>
      <c r="C238" s="2" t="inlineStr">
        <is>
          <t>11MBX21CP010</t>
        </is>
      </c>
      <c r="D238" s="14" t="inlineStr">
        <is>
          <t>GT P/O TWIN FILTER PDT</t>
        </is>
      </c>
      <c r="E238" s="37" t="n">
        <v>46044</v>
      </c>
      <c r="F238" s="103" t="n">
        <v>-20.684</v>
      </c>
      <c r="G238" s="103" t="n">
        <v>20.684</v>
      </c>
      <c r="H238" s="103" t="n">
        <v>-2</v>
      </c>
      <c r="I238" s="103" t="n">
        <v>8</v>
      </c>
      <c r="J238" s="4" t="inlineStr">
        <is>
          <t>Bar</t>
        </is>
      </c>
      <c r="K238" s="19" t="inlineStr">
        <is>
          <t>ROSEMOUNT</t>
        </is>
      </c>
      <c r="L238" s="19" t="inlineStr">
        <is>
          <t>3051CD</t>
        </is>
      </c>
      <c r="M238" s="20" t="n">
        <v>9782033</v>
      </c>
      <c r="N238" s="2">
        <f>IF(E238="","Waiting","Calibrated")</f>
        <v/>
      </c>
      <c r="O238" s="2" t="n"/>
      <c r="P238" s="2" t="inlineStr">
        <is>
          <t>ZM06</t>
        </is>
      </c>
      <c r="Q238" s="2" t="n"/>
      <c r="R238" s="28" t="n"/>
      <c r="S238" s="28" t="n"/>
      <c r="T238" s="32" t="n"/>
    </row>
    <row r="239" ht="30" customFormat="1" customHeight="1" s="5">
      <c r="A239" s="17" t="n">
        <v>237</v>
      </c>
      <c r="B239" s="17" t="inlineStr">
        <is>
          <t>KIPP11</t>
        </is>
      </c>
      <c r="C239" s="2" t="inlineStr">
        <is>
          <t>11MBX42CP001</t>
        </is>
      </c>
      <c r="D239" s="14" t="inlineStr">
        <is>
          <t>P HYDR SAFETY SYS</t>
        </is>
      </c>
      <c r="E239" s="37" t="n">
        <v>46044</v>
      </c>
      <c r="F239" s="103" t="n">
        <v>-137.89</v>
      </c>
      <c r="G239" s="103" t="n">
        <v>137.89</v>
      </c>
      <c r="H239" s="103" t="n">
        <v>0</v>
      </c>
      <c r="I239" s="103" t="inlineStr">
        <is>
          <t>60</t>
        </is>
      </c>
      <c r="J239" s="4" t="inlineStr">
        <is>
          <t>Bar</t>
        </is>
      </c>
      <c r="K239" s="19" t="inlineStr">
        <is>
          <t>ROSEMOUNT</t>
        </is>
      </c>
      <c r="L239" s="19" t="inlineStr">
        <is>
          <t>3051 PT</t>
        </is>
      </c>
      <c r="M239" s="19" t="n">
        <v>9782034</v>
      </c>
      <c r="N239" s="2">
        <f>IF(E239="","Waiting","Calibrated")</f>
        <v/>
      </c>
      <c r="O239" s="2" t="n"/>
      <c r="P239" s="2" t="inlineStr">
        <is>
          <t>ZM06</t>
        </is>
      </c>
      <c r="Q239" s="2" t="n"/>
      <c r="R239" s="28" t="n"/>
      <c r="S239" s="28" t="n"/>
      <c r="T239" s="32" t="n"/>
    </row>
    <row r="240" ht="30" customFormat="1" customHeight="1" s="5">
      <c r="A240" s="17" t="n">
        <v>238</v>
      </c>
      <c r="B240" s="17" t="inlineStr">
        <is>
          <t>KIPP12</t>
        </is>
      </c>
      <c r="C240" s="2" t="inlineStr">
        <is>
          <t>12EKG40CP101</t>
        </is>
      </c>
      <c r="D240" s="14" t="inlineStr">
        <is>
          <t>FG PERFORMANCE HEATER SKID OUTLET PRESS</t>
        </is>
      </c>
      <c r="E240" s="37" t="n"/>
      <c r="F240" s="103" t="n">
        <v>-1</v>
      </c>
      <c r="G240" s="103" t="n">
        <v>100</v>
      </c>
      <c r="H240" s="103" t="n">
        <v>0</v>
      </c>
      <c r="I240" s="103" t="n">
        <v>61</v>
      </c>
      <c r="J240" s="4" t="inlineStr">
        <is>
          <t>Bar</t>
        </is>
      </c>
      <c r="K240" s="19" t="inlineStr">
        <is>
          <t>YOKOGAWA</t>
        </is>
      </c>
      <c r="L240" s="19" t="inlineStr">
        <is>
          <t>EJA530E</t>
        </is>
      </c>
      <c r="M240" s="19" t="inlineStr">
        <is>
          <t>91S313314</t>
        </is>
      </c>
      <c r="N240" s="2">
        <f>IF(E240="","Waiting","Calibrated")</f>
        <v/>
      </c>
      <c r="O240" s="2" t="n"/>
      <c r="P240" s="2" t="inlineStr">
        <is>
          <t>ZM06</t>
        </is>
      </c>
      <c r="Q240" s="2" t="n"/>
      <c r="R240" s="28" t="n"/>
      <c r="S240" s="28" t="n"/>
      <c r="T240" s="32" t="n"/>
    </row>
    <row r="241" ht="30" customFormat="1" customHeight="1" s="5">
      <c r="A241" s="17" t="n">
        <v>239</v>
      </c>
      <c r="B241" s="17" t="inlineStr">
        <is>
          <t>KIPP12</t>
        </is>
      </c>
      <c r="C241" s="2" t="inlineStr">
        <is>
          <t>12HAC22CF002</t>
        </is>
      </c>
      <c r="D241" s="14" t="inlineStr">
        <is>
          <t>LP FW FT 1</t>
        </is>
      </c>
      <c r="E241" s="37" t="n"/>
      <c r="F241" s="103" t="n">
        <v>-621.6</v>
      </c>
      <c r="G241" s="103" t="n">
        <v>621.6</v>
      </c>
      <c r="H241" s="103" t="n">
        <v>0</v>
      </c>
      <c r="I241" s="103" t="n">
        <v>316</v>
      </c>
      <c r="J241" s="4" t="inlineStr">
        <is>
          <t>mBar</t>
        </is>
      </c>
      <c r="K241" s="19" t="inlineStr">
        <is>
          <t>ROSEMOUNT</t>
        </is>
      </c>
      <c r="L241" s="19" t="inlineStr">
        <is>
          <t>2051 PT</t>
        </is>
      </c>
      <c r="M241" s="19" t="n">
        <v>214484</v>
      </c>
      <c r="N241" s="2">
        <f>IF(E241="","Waiting","Calibrated")</f>
        <v/>
      </c>
      <c r="O241" s="2" t="n"/>
      <c r="P241" s="2" t="inlineStr">
        <is>
          <t>ZM06</t>
        </is>
      </c>
      <c r="Q241" s="2" t="n"/>
      <c r="R241" s="28" t="n"/>
      <c r="S241" s="28" t="inlineStr">
        <is>
          <t>12LAB46GH101</t>
        </is>
      </c>
      <c r="T241" s="32" t="n"/>
    </row>
    <row r="242" ht="30" customFormat="1" customHeight="1" s="5">
      <c r="A242" s="17" t="n">
        <v>240</v>
      </c>
      <c r="B242" s="17" t="inlineStr">
        <is>
          <t>KIPP12</t>
        </is>
      </c>
      <c r="C242" s="2" t="inlineStr">
        <is>
          <t>12HAC22CF003</t>
        </is>
      </c>
      <c r="D242" s="14" t="inlineStr">
        <is>
          <t>LP FW FT 2</t>
        </is>
      </c>
      <c r="E242" s="37" t="n"/>
      <c r="F242" s="103" t="n">
        <v>-621.6</v>
      </c>
      <c r="G242" s="103" t="n">
        <v>621.6</v>
      </c>
      <c r="H242" s="103" t="n">
        <v>0</v>
      </c>
      <c r="I242" s="103" t="n">
        <v>316</v>
      </c>
      <c r="J242" s="4" t="inlineStr">
        <is>
          <t>mBar</t>
        </is>
      </c>
      <c r="K242" s="19" t="inlineStr">
        <is>
          <t>ROSEMOUNT</t>
        </is>
      </c>
      <c r="L242" s="19" t="inlineStr">
        <is>
          <t>2051 PT</t>
        </is>
      </c>
      <c r="M242" s="19" t="n">
        <v>214485</v>
      </c>
      <c r="N242" s="2">
        <f>IF(E242="","Waiting","Calibrated")</f>
        <v/>
      </c>
      <c r="O242" s="2" t="n"/>
      <c r="P242" s="2" t="inlineStr">
        <is>
          <t>ZM06</t>
        </is>
      </c>
      <c r="Q242" s="2" t="n"/>
      <c r="R242" s="28" t="n"/>
      <c r="S242" s="28" t="inlineStr">
        <is>
          <t>12LAB46GH101</t>
        </is>
      </c>
      <c r="T242" s="32" t="n"/>
    </row>
    <row r="243" ht="30" customFormat="1" customHeight="1" s="5">
      <c r="A243" s="17" t="n">
        <v>241</v>
      </c>
      <c r="B243" s="17" t="inlineStr">
        <is>
          <t>KIPP12</t>
        </is>
      </c>
      <c r="C243" s="2" t="inlineStr">
        <is>
          <t>12HAC25CF002</t>
        </is>
      </c>
      <c r="D243" s="14" t="inlineStr">
        <is>
          <t>IP DRUM FW FLOW A</t>
        </is>
      </c>
      <c r="E243" s="37" t="n"/>
      <c r="F243" s="103" t="n">
        <v>-621.6</v>
      </c>
      <c r="G243" s="103" t="n">
        <v>621.6</v>
      </c>
      <c r="H243" s="103" t="n">
        <v>0</v>
      </c>
      <c r="I243" s="103" t="n">
        <v>460</v>
      </c>
      <c r="J243" s="4" t="inlineStr">
        <is>
          <t>mBar</t>
        </is>
      </c>
      <c r="K243" s="33" t="inlineStr">
        <is>
          <t>ROSEMOUNT</t>
        </is>
      </c>
      <c r="L243" s="33" t="inlineStr">
        <is>
          <t>2051 PT</t>
        </is>
      </c>
      <c r="M243" s="20" t="n">
        <v>214478</v>
      </c>
      <c r="N243" s="2">
        <f>IF(E243="","Waiting","Calibrated")</f>
        <v/>
      </c>
      <c r="O243" s="2" t="n"/>
      <c r="P243" s="2" t="inlineStr">
        <is>
          <t>ZM06</t>
        </is>
      </c>
      <c r="Q243" s="2" t="n"/>
      <c r="R243" s="28" t="n"/>
      <c r="S243" s="28" t="inlineStr">
        <is>
          <t>12HAC25GH101</t>
        </is>
      </c>
      <c r="T243" s="32" t="n"/>
    </row>
    <row r="244" ht="30" customFormat="1" customHeight="1" s="5">
      <c r="A244" s="17" t="n">
        <v>242</v>
      </c>
      <c r="B244" s="17" t="inlineStr">
        <is>
          <t>KIPP12</t>
        </is>
      </c>
      <c r="C244" s="2" t="inlineStr">
        <is>
          <t>12HAC25CF003</t>
        </is>
      </c>
      <c r="D244" s="14" t="inlineStr">
        <is>
          <t>IP DRUM FW FLOW B</t>
        </is>
      </c>
      <c r="E244" s="37" t="n"/>
      <c r="F244" s="103" t="n">
        <v>-621.6</v>
      </c>
      <c r="G244" s="103" t="n">
        <v>621.6</v>
      </c>
      <c r="H244" s="103" t="n">
        <v>0</v>
      </c>
      <c r="I244" s="103" t="n">
        <v>460</v>
      </c>
      <c r="J244" s="4" t="inlineStr">
        <is>
          <t>mBar</t>
        </is>
      </c>
      <c r="K244" s="33" t="inlineStr">
        <is>
          <t>ROSEMOUNT</t>
        </is>
      </c>
      <c r="L244" s="33" t="inlineStr">
        <is>
          <t>2051 PT</t>
        </is>
      </c>
      <c r="M244" s="20" t="n">
        <v>214479</v>
      </c>
      <c r="N244" s="2">
        <f>IF(E244="","Waiting","Calibrated")</f>
        <v/>
      </c>
      <c r="O244" s="2" t="n"/>
      <c r="P244" s="2" t="inlineStr">
        <is>
          <t>ZM06</t>
        </is>
      </c>
      <c r="Q244" s="2" t="n"/>
      <c r="R244" s="28" t="n"/>
      <c r="S244" s="28" t="inlineStr">
        <is>
          <t>12HAC25GH101</t>
        </is>
      </c>
      <c r="T244" s="32" t="n"/>
    </row>
    <row r="245" ht="30" customFormat="1" customHeight="1" s="5">
      <c r="A245" s="17" t="n">
        <v>243</v>
      </c>
      <c r="B245" s="17" t="inlineStr">
        <is>
          <t>KIPP12</t>
        </is>
      </c>
      <c r="C245" s="2" t="inlineStr">
        <is>
          <t>12HAC25CP001</t>
        </is>
      </c>
      <c r="D245" s="14" t="inlineStr">
        <is>
          <t>IP ECO O/L PT</t>
        </is>
      </c>
      <c r="E245" s="37" t="n"/>
      <c r="F245" s="103" t="n">
        <v>-1.01</v>
      </c>
      <c r="G245" s="103" t="n">
        <v>275.79</v>
      </c>
      <c r="H245" s="103" t="n">
        <v>0</v>
      </c>
      <c r="I245" s="103" t="n">
        <v>100</v>
      </c>
      <c r="J245" s="4" t="inlineStr">
        <is>
          <t>Bar</t>
        </is>
      </c>
      <c r="K245" s="33" t="inlineStr">
        <is>
          <t>ROSEMOUNT</t>
        </is>
      </c>
      <c r="L245" s="33" t="inlineStr">
        <is>
          <t>2051TG</t>
        </is>
      </c>
      <c r="M245" s="20" t="n">
        <v>210444</v>
      </c>
      <c r="N245" s="2">
        <f>IF(E245="","Waiting","Calibrated")</f>
        <v/>
      </c>
      <c r="O245" s="2" t="n"/>
      <c r="P245" s="2" t="inlineStr">
        <is>
          <t>ZM06</t>
        </is>
      </c>
      <c r="Q245" s="2" t="n"/>
      <c r="R245" s="28" t="n"/>
      <c r="S245" s="28" t="inlineStr">
        <is>
          <t>12HAC25GH101</t>
        </is>
      </c>
      <c r="T245" s="32" t="n"/>
    </row>
    <row r="246" ht="30" customFormat="1" customHeight="1" s="5">
      <c r="A246" s="17" t="n">
        <v>244</v>
      </c>
      <c r="B246" s="17" t="inlineStr">
        <is>
          <t>KIPP12</t>
        </is>
      </c>
      <c r="C246" s="2" t="inlineStr">
        <is>
          <t>12HAC58CF002</t>
        </is>
      </c>
      <c r="D246" s="14" t="inlineStr">
        <is>
          <t>HP ECO O/L FT 1</t>
        </is>
      </c>
      <c r="E246" s="37" t="n"/>
      <c r="F246" s="103" t="n">
        <v>-621.6</v>
      </c>
      <c r="G246" s="103" t="n">
        <v>621.6</v>
      </c>
      <c r="H246" s="103" t="n">
        <v>0</v>
      </c>
      <c r="I246" s="103" t="n">
        <v>302</v>
      </c>
      <c r="J246" s="4" t="inlineStr">
        <is>
          <t>mBar</t>
        </is>
      </c>
      <c r="K246" s="33" t="inlineStr">
        <is>
          <t>ROSEMOUNT</t>
        </is>
      </c>
      <c r="L246" s="33" t="inlineStr">
        <is>
          <t>2051 CD</t>
        </is>
      </c>
      <c r="M246" s="20" t="n">
        <v>214463</v>
      </c>
      <c r="N246" s="2">
        <f>IF(E246="","Waiting","Calibrated")</f>
        <v/>
      </c>
      <c r="O246" s="2" t="n"/>
      <c r="P246" s="2" t="inlineStr">
        <is>
          <t>ZM06</t>
        </is>
      </c>
      <c r="Q246" s="2" t="n"/>
      <c r="R246" s="28" t="n"/>
      <c r="S246" s="28" t="inlineStr">
        <is>
          <t>12HAC58GH101</t>
        </is>
      </c>
      <c r="T246" s="32" t="n"/>
    </row>
    <row r="247" ht="30" customFormat="1" customHeight="1" s="5">
      <c r="A247" s="17" t="n">
        <v>245</v>
      </c>
      <c r="B247" s="17" t="inlineStr">
        <is>
          <t>KIPP12</t>
        </is>
      </c>
      <c r="C247" s="2" t="inlineStr">
        <is>
          <t>12HAC58CF003</t>
        </is>
      </c>
      <c r="D247" s="14" t="inlineStr">
        <is>
          <t>HP ECO O/L FT 2</t>
        </is>
      </c>
      <c r="E247" s="37" t="n"/>
      <c r="F247" s="103" t="n">
        <v>-621.6</v>
      </c>
      <c r="G247" s="103" t="n">
        <v>621.6</v>
      </c>
      <c r="H247" s="103" t="n">
        <v>0</v>
      </c>
      <c r="I247" s="103" t="n">
        <v>302</v>
      </c>
      <c r="J247" s="4" t="inlineStr">
        <is>
          <t>mBar</t>
        </is>
      </c>
      <c r="K247" s="33" t="inlineStr">
        <is>
          <t>ROSEMOUNT</t>
        </is>
      </c>
      <c r="L247" s="33" t="inlineStr">
        <is>
          <t>2051 CD</t>
        </is>
      </c>
      <c r="M247" s="20" t="n">
        <v>214464</v>
      </c>
      <c r="N247" s="2">
        <f>IF(E247="","Waiting","Calibrated")</f>
        <v/>
      </c>
      <c r="O247" s="2" t="n"/>
      <c r="P247" s="2" t="inlineStr">
        <is>
          <t>ZM06</t>
        </is>
      </c>
      <c r="Q247" s="2" t="n"/>
      <c r="R247" s="28" t="n"/>
      <c r="S247" s="28" t="inlineStr">
        <is>
          <t>12HAC58GH101</t>
        </is>
      </c>
      <c r="T247" s="32" t="n"/>
    </row>
    <row r="248" ht="30" customFormat="1" customHeight="1" s="5">
      <c r="A248" s="17" t="n">
        <v>246</v>
      </c>
      <c r="B248" s="17" t="inlineStr">
        <is>
          <t>KIPP12</t>
        </is>
      </c>
      <c r="C248" s="2" t="inlineStr">
        <is>
          <t>12HAC58CP001</t>
        </is>
      </c>
      <c r="D248" s="14" t="inlineStr">
        <is>
          <t>HP ECO O/L PT</t>
        </is>
      </c>
      <c r="E248" s="37" t="n"/>
      <c r="F248" s="103" t="n">
        <v>0</v>
      </c>
      <c r="G248" s="103" t="n">
        <v>689.7</v>
      </c>
      <c r="H248" s="103" t="n">
        <v>0</v>
      </c>
      <c r="I248" s="103" t="n">
        <v>300</v>
      </c>
      <c r="J248" s="4" t="inlineStr">
        <is>
          <t>Bar</t>
        </is>
      </c>
      <c r="K248" s="33" t="inlineStr">
        <is>
          <t>ROSEMOUNT</t>
        </is>
      </c>
      <c r="L248" s="33" t="inlineStr">
        <is>
          <t>2050TG</t>
        </is>
      </c>
      <c r="M248" s="20" t="n">
        <v>210438</v>
      </c>
      <c r="N248" s="2">
        <f>IF(E248="","Waiting","Calibrated")</f>
        <v/>
      </c>
      <c r="O248" s="2" t="n"/>
      <c r="P248" s="2" t="inlineStr">
        <is>
          <t>ZM06</t>
        </is>
      </c>
      <c r="Q248" s="2" t="n"/>
      <c r="R248" s="28" t="n"/>
      <c r="S248" s="28" t="inlineStr">
        <is>
          <t>12HAC58GH101</t>
        </is>
      </c>
      <c r="T248" s="32" t="n"/>
    </row>
    <row r="249" ht="30" customFormat="1" customHeight="1" s="5">
      <c r="A249" s="17" t="n">
        <v>247</v>
      </c>
      <c r="B249" s="17" t="inlineStr">
        <is>
          <t>KIPP12</t>
        </is>
      </c>
      <c r="C249" s="2" t="inlineStr">
        <is>
          <t>12HAD10CL001</t>
        </is>
      </c>
      <c r="D249" s="14" t="inlineStr">
        <is>
          <t>LP DRUM LT 1</t>
        </is>
      </c>
      <c r="E249" s="37" t="n"/>
      <c r="F249" s="103" t="n">
        <v>-6350</v>
      </c>
      <c r="G249" s="103" t="n">
        <v>6350</v>
      </c>
      <c r="H249" s="103" t="n">
        <v>-39</v>
      </c>
      <c r="I249" s="103" t="n">
        <v>-1294</v>
      </c>
      <c r="J249" s="4" t="inlineStr">
        <is>
          <t>mmH2O</t>
        </is>
      </c>
      <c r="K249" s="33" t="inlineStr">
        <is>
          <t>ROSEMOUNT</t>
        </is>
      </c>
      <c r="L249" s="33" t="inlineStr">
        <is>
          <t>2051 PT</t>
        </is>
      </c>
      <c r="M249" s="20" t="n">
        <v>3576021</v>
      </c>
      <c r="N249" s="2">
        <f>IF(E249="","Waiting","Calibrated")</f>
        <v/>
      </c>
      <c r="O249" s="2" t="n"/>
      <c r="P249" s="2" t="inlineStr">
        <is>
          <t>ZM06</t>
        </is>
      </c>
      <c r="Q249" s="2" t="n"/>
      <c r="R249" s="28" t="n"/>
      <c r="S249" s="28" t="inlineStr">
        <is>
          <t>12HAC25GH101</t>
        </is>
      </c>
      <c r="T249" s="32" t="n"/>
    </row>
    <row r="250" ht="30" customFormat="1" customHeight="1" s="5">
      <c r="A250" s="17" t="n">
        <v>248</v>
      </c>
      <c r="B250" s="17" t="inlineStr">
        <is>
          <t>KIPP12</t>
        </is>
      </c>
      <c r="C250" s="2" t="inlineStr">
        <is>
          <t>12HAD10CL002</t>
        </is>
      </c>
      <c r="D250" s="14" t="inlineStr">
        <is>
          <t>LP DRUM LT 2</t>
        </is>
      </c>
      <c r="E250" s="37" t="n"/>
      <c r="F250" s="103" t="n">
        <v>-6350</v>
      </c>
      <c r="G250" s="103" t="n">
        <v>6350</v>
      </c>
      <c r="H250" s="103" t="n">
        <v>-39</v>
      </c>
      <c r="I250" s="103" t="n">
        <v>-1294</v>
      </c>
      <c r="J250" s="4" t="inlineStr">
        <is>
          <t>mmH2O</t>
        </is>
      </c>
      <c r="K250" s="33" t="inlineStr">
        <is>
          <t>ROSEMOUNT</t>
        </is>
      </c>
      <c r="L250" s="33" t="inlineStr">
        <is>
          <t>2051 PT</t>
        </is>
      </c>
      <c r="M250" s="20" t="n">
        <v>3576022</v>
      </c>
      <c r="N250" s="2">
        <f>IF(E250="","Waiting","Calibrated")</f>
        <v/>
      </c>
      <c r="O250" s="2" t="n"/>
      <c r="P250" s="2" t="inlineStr">
        <is>
          <t>ZM06</t>
        </is>
      </c>
      <c r="Q250" s="2" t="n"/>
      <c r="R250" s="28" t="n"/>
      <c r="S250" s="28" t="inlineStr">
        <is>
          <t>12HAD50GH102</t>
        </is>
      </c>
      <c r="T250" s="32" t="n"/>
    </row>
    <row r="251" ht="30" customFormat="1" customHeight="1" s="5">
      <c r="A251" s="17" t="n">
        <v>249</v>
      </c>
      <c r="B251" s="17" t="inlineStr">
        <is>
          <t>KIPP12</t>
        </is>
      </c>
      <c r="C251" s="2" t="inlineStr">
        <is>
          <t>12HAD10CL003</t>
        </is>
      </c>
      <c r="D251" s="14" t="inlineStr">
        <is>
          <t>LP DRUM LT 3</t>
        </is>
      </c>
      <c r="E251" s="37" t="n"/>
      <c r="F251" s="103" t="n">
        <v>-6350</v>
      </c>
      <c r="G251" s="103" t="n">
        <v>6350</v>
      </c>
      <c r="H251" s="103" t="n">
        <v>-39</v>
      </c>
      <c r="I251" s="103" t="n">
        <v>-1294</v>
      </c>
      <c r="J251" s="4" t="inlineStr">
        <is>
          <t>mmH2O</t>
        </is>
      </c>
      <c r="K251" s="33" t="inlineStr">
        <is>
          <t>ROSEMOUNT</t>
        </is>
      </c>
      <c r="L251" s="33" t="inlineStr">
        <is>
          <t>2051 PT</t>
        </is>
      </c>
      <c r="M251" s="20" t="n">
        <v>3576023</v>
      </c>
      <c r="N251" s="2">
        <f>IF(E251="","Waiting","Calibrated")</f>
        <v/>
      </c>
      <c r="O251" s="2" t="n"/>
      <c r="P251" s="2" t="inlineStr">
        <is>
          <t>ZM06</t>
        </is>
      </c>
      <c r="Q251" s="2" t="n"/>
      <c r="R251" s="28" t="n"/>
      <c r="S251" s="28" t="inlineStr">
        <is>
          <t>12HAD50GH102</t>
        </is>
      </c>
      <c r="T251" s="32" t="n"/>
    </row>
    <row r="252" ht="30" customFormat="1" customHeight="1" s="5">
      <c r="A252" s="17" t="n">
        <v>250</v>
      </c>
      <c r="B252" s="17" t="inlineStr">
        <is>
          <t>KIPP12</t>
        </is>
      </c>
      <c r="C252" s="2" t="inlineStr">
        <is>
          <t>12HAD10CP001</t>
        </is>
      </c>
      <c r="D252" s="14" t="inlineStr">
        <is>
          <t>LP DRUM PT 1</t>
        </is>
      </c>
      <c r="E252" s="37" t="n"/>
      <c r="F252" s="103" t="n">
        <v>-1.01</v>
      </c>
      <c r="G252" s="103" t="n">
        <v>55.16</v>
      </c>
      <c r="H252" s="103" t="n">
        <v>0</v>
      </c>
      <c r="I252" s="103" t="n">
        <v>15</v>
      </c>
      <c r="J252" s="4" t="inlineStr">
        <is>
          <t>Bar</t>
        </is>
      </c>
      <c r="K252" s="19" t="inlineStr">
        <is>
          <t>ROSEMOUNT</t>
        </is>
      </c>
      <c r="L252" s="19" t="inlineStr">
        <is>
          <t>2051 PT</t>
        </is>
      </c>
      <c r="M252" s="20" t="n">
        <v>3576030</v>
      </c>
      <c r="N252" s="2">
        <f>IF(E252="","Waiting","Calibrated")</f>
        <v/>
      </c>
      <c r="O252" s="2" t="n"/>
      <c r="P252" s="2" t="inlineStr">
        <is>
          <t>ZM06</t>
        </is>
      </c>
      <c r="Q252" s="2" t="n"/>
      <c r="R252" s="28" t="n"/>
      <c r="S252" s="28" t="inlineStr">
        <is>
          <t>12HAD30GH101</t>
        </is>
      </c>
      <c r="T252" s="32" t="n"/>
    </row>
    <row r="253" ht="30" customFormat="1" customHeight="1" s="5">
      <c r="A253" s="17" t="n">
        <v>251</v>
      </c>
      <c r="B253" s="17" t="inlineStr">
        <is>
          <t>KIPP12</t>
        </is>
      </c>
      <c r="C253" s="2" t="inlineStr">
        <is>
          <t>12HAD10CP002</t>
        </is>
      </c>
      <c r="D253" s="14" t="inlineStr">
        <is>
          <t>LP DRUM PT 2</t>
        </is>
      </c>
      <c r="E253" s="37" t="n"/>
      <c r="F253" s="103" t="n">
        <v>-1.01</v>
      </c>
      <c r="G253" s="103" t="n">
        <v>55.16</v>
      </c>
      <c r="H253" s="103" t="n">
        <v>0</v>
      </c>
      <c r="I253" s="103" t="n">
        <v>15</v>
      </c>
      <c r="J253" s="4" t="inlineStr">
        <is>
          <t>Bar</t>
        </is>
      </c>
      <c r="K253" s="19" t="inlineStr">
        <is>
          <t>ROSEMOUNT</t>
        </is>
      </c>
      <c r="L253" s="19" t="inlineStr">
        <is>
          <t>2051 PT</t>
        </is>
      </c>
      <c r="M253" s="20" t="n">
        <v>3576031</v>
      </c>
      <c r="N253" s="2">
        <f>IF(E253="","Waiting","Calibrated")</f>
        <v/>
      </c>
      <c r="O253" s="2" t="n"/>
      <c r="P253" s="2" t="inlineStr">
        <is>
          <t>ZM06</t>
        </is>
      </c>
      <c r="Q253" s="2" t="n"/>
      <c r="R253" s="28" t="n"/>
      <c r="S253" s="28" t="inlineStr">
        <is>
          <t>12HAD30GH101</t>
        </is>
      </c>
      <c r="T253" s="32" t="n"/>
    </row>
    <row r="254" ht="30" customFormat="1" customHeight="1" s="5">
      <c r="A254" s="17" t="n">
        <v>252</v>
      </c>
      <c r="B254" s="17" t="inlineStr">
        <is>
          <t>KIPP12</t>
        </is>
      </c>
      <c r="C254" s="2" t="inlineStr">
        <is>
          <t>12HAD10CP003</t>
        </is>
      </c>
      <c r="D254" s="14" t="inlineStr">
        <is>
          <t>LP DRUM PT 3</t>
        </is>
      </c>
      <c r="E254" s="37" t="n"/>
      <c r="F254" s="103" t="n">
        <v>-1.01</v>
      </c>
      <c r="G254" s="103" t="n">
        <v>55.16</v>
      </c>
      <c r="H254" s="103" t="n">
        <v>0</v>
      </c>
      <c r="I254" s="103" t="n">
        <v>15</v>
      </c>
      <c r="J254" s="4" t="inlineStr">
        <is>
          <t>Bar</t>
        </is>
      </c>
      <c r="K254" s="19" t="inlineStr">
        <is>
          <t>ROSEMOUNT</t>
        </is>
      </c>
      <c r="L254" s="19" t="inlineStr">
        <is>
          <t>2051 PT</t>
        </is>
      </c>
      <c r="M254" s="20" t="n">
        <v>3576032</v>
      </c>
      <c r="N254" s="2">
        <f>IF(E254="","Waiting","Calibrated")</f>
        <v/>
      </c>
      <c r="O254" s="2" t="n"/>
      <c r="P254" s="2" t="inlineStr">
        <is>
          <t>ZM06</t>
        </is>
      </c>
      <c r="Q254" s="2" t="n"/>
      <c r="R254" s="28" t="n"/>
      <c r="S254" s="28" t="inlineStr">
        <is>
          <t>12HAD30GH101</t>
        </is>
      </c>
      <c r="T254" s="32" t="n"/>
    </row>
    <row r="255" ht="30" customFormat="1" customHeight="1" s="5">
      <c r="A255" s="17" t="n">
        <v>253</v>
      </c>
      <c r="B255" s="17" t="inlineStr">
        <is>
          <t>KIPP12</t>
        </is>
      </c>
      <c r="C255" s="2" t="inlineStr">
        <is>
          <t>12HAD30CL001</t>
        </is>
      </c>
      <c r="D255" s="14" t="inlineStr">
        <is>
          <t>IP DRUM LT 1</t>
        </is>
      </c>
      <c r="E255" s="37" t="n"/>
      <c r="F255" s="103" t="n">
        <v>-6350</v>
      </c>
      <c r="G255" s="103" t="n">
        <v>6350</v>
      </c>
      <c r="H255" s="103" t="n">
        <v>-34</v>
      </c>
      <c r="I255" s="103" t="n">
        <v>-1143</v>
      </c>
      <c r="J255" s="4" t="inlineStr">
        <is>
          <t>mmH2O</t>
        </is>
      </c>
      <c r="K255" s="33" t="inlineStr">
        <is>
          <t>ROSEMOUNT</t>
        </is>
      </c>
      <c r="L255" s="33" t="inlineStr">
        <is>
          <t>2051 PT</t>
        </is>
      </c>
      <c r="M255" s="20" t="n">
        <v>3576018</v>
      </c>
      <c r="N255" s="2">
        <f>IF(E255="","Waiting","Calibrated")</f>
        <v/>
      </c>
      <c r="O255" s="2" t="n"/>
      <c r="P255" s="2" t="inlineStr">
        <is>
          <t>ZM06</t>
        </is>
      </c>
      <c r="Q255" s="2" t="n"/>
      <c r="R255" s="28" t="n"/>
      <c r="S255" s="28" t="inlineStr">
        <is>
          <t>12HAC25GH101</t>
        </is>
      </c>
      <c r="T255" s="32" t="n"/>
    </row>
    <row r="256" ht="30" customFormat="1" customHeight="1" s="5">
      <c r="A256" s="17" t="n">
        <v>254</v>
      </c>
      <c r="B256" s="17" t="inlineStr">
        <is>
          <t>KIPP12</t>
        </is>
      </c>
      <c r="C256" s="2" t="inlineStr">
        <is>
          <t>12HAD30CL002</t>
        </is>
      </c>
      <c r="D256" s="14" t="inlineStr">
        <is>
          <t>IP DRUM LT 2</t>
        </is>
      </c>
      <c r="E256" s="37" t="n"/>
      <c r="F256" s="103" t="n">
        <v>-6350</v>
      </c>
      <c r="G256" s="103" t="n">
        <v>6350</v>
      </c>
      <c r="H256" s="103" t="n">
        <v>-34</v>
      </c>
      <c r="I256" s="103" t="n">
        <v>-1143</v>
      </c>
      <c r="J256" s="4" t="inlineStr">
        <is>
          <t>mmH2O</t>
        </is>
      </c>
      <c r="K256" s="33" t="inlineStr">
        <is>
          <t>ROSEMOUNT</t>
        </is>
      </c>
      <c r="L256" s="33" t="inlineStr">
        <is>
          <t>2051 PT</t>
        </is>
      </c>
      <c r="M256" s="20" t="n">
        <v>3576019</v>
      </c>
      <c r="N256" s="2">
        <f>IF(E256="","Waiting","Calibrated")</f>
        <v/>
      </c>
      <c r="O256" s="2" t="n"/>
      <c r="P256" s="2" t="inlineStr">
        <is>
          <t>ZM06</t>
        </is>
      </c>
      <c r="Q256" s="2" t="n"/>
      <c r="R256" s="28" t="n"/>
      <c r="S256" s="28" t="inlineStr">
        <is>
          <t>12HAD50GH102</t>
        </is>
      </c>
      <c r="T256" s="32" t="n"/>
    </row>
    <row r="257" ht="30" customFormat="1" customHeight="1" s="5">
      <c r="A257" s="17" t="n">
        <v>255</v>
      </c>
      <c r="B257" s="17" t="inlineStr">
        <is>
          <t>KIPP12</t>
        </is>
      </c>
      <c r="C257" s="2" t="inlineStr">
        <is>
          <t>12HAD30CL003</t>
        </is>
      </c>
      <c r="D257" s="14" t="inlineStr">
        <is>
          <t>IP DRUM LT 3</t>
        </is>
      </c>
      <c r="E257" s="37" t="n"/>
      <c r="F257" s="103" t="n">
        <v>-6350</v>
      </c>
      <c r="G257" s="103" t="n">
        <v>6350</v>
      </c>
      <c r="H257" s="103" t="n">
        <v>-34</v>
      </c>
      <c r="I257" s="103" t="n">
        <v>-1143</v>
      </c>
      <c r="J257" s="4" t="inlineStr">
        <is>
          <t>mmH2O</t>
        </is>
      </c>
      <c r="K257" s="33" t="inlineStr">
        <is>
          <t>ROSEMOUNT</t>
        </is>
      </c>
      <c r="L257" s="33" t="inlineStr">
        <is>
          <t>2051 PT</t>
        </is>
      </c>
      <c r="M257" s="20" t="n">
        <v>3576020</v>
      </c>
      <c r="N257" s="2">
        <f>IF(E257="","Waiting","Calibrated")</f>
        <v/>
      </c>
      <c r="O257" s="2" t="n"/>
      <c r="P257" s="2" t="inlineStr">
        <is>
          <t>ZM06</t>
        </is>
      </c>
      <c r="Q257" s="2" t="n"/>
      <c r="R257" s="28" t="n"/>
      <c r="S257" s="28" t="inlineStr">
        <is>
          <t>12HAD50GH102</t>
        </is>
      </c>
      <c r="T257" s="32" t="n"/>
    </row>
    <row r="258" ht="30" customFormat="1" customHeight="1" s="5">
      <c r="A258" s="17" t="n">
        <v>256</v>
      </c>
      <c r="B258" s="17" t="inlineStr">
        <is>
          <t>KIPP12</t>
        </is>
      </c>
      <c r="C258" s="2" t="inlineStr">
        <is>
          <t>12HAD30CP001</t>
        </is>
      </c>
      <c r="D258" s="14" t="inlineStr">
        <is>
          <t>IP DRUM PT 1</t>
        </is>
      </c>
      <c r="E258" s="37" t="n"/>
      <c r="F258" s="103" t="n">
        <v>-1.01</v>
      </c>
      <c r="G258" s="103" t="n">
        <v>275.79</v>
      </c>
      <c r="H258" s="103" t="n">
        <v>0</v>
      </c>
      <c r="I258" s="103" t="n">
        <v>60</v>
      </c>
      <c r="J258" s="4" t="inlineStr">
        <is>
          <t>Bar</t>
        </is>
      </c>
      <c r="K258" s="19" t="inlineStr">
        <is>
          <t>ROSEMOUNT</t>
        </is>
      </c>
      <c r="L258" s="19" t="inlineStr">
        <is>
          <t>2051 PT</t>
        </is>
      </c>
      <c r="M258" s="20" t="n">
        <v>3576000</v>
      </c>
      <c r="N258" s="2">
        <f>IF(E258="","Waiting","Calibrated")</f>
        <v/>
      </c>
      <c r="O258" s="2" t="n"/>
      <c r="P258" s="2" t="inlineStr">
        <is>
          <t>ZM06</t>
        </is>
      </c>
      <c r="Q258" s="2" t="n"/>
      <c r="R258" s="28" t="n"/>
      <c r="S258" s="28" t="inlineStr">
        <is>
          <t>12HAD30GH101</t>
        </is>
      </c>
      <c r="T258" s="32" t="n"/>
    </row>
    <row r="259" ht="30" customFormat="1" customHeight="1" s="5">
      <c r="A259" s="17" t="n">
        <v>257</v>
      </c>
      <c r="B259" s="17" t="inlineStr">
        <is>
          <t>KIPP12</t>
        </is>
      </c>
      <c r="C259" s="2" t="inlineStr">
        <is>
          <t>12HAD30CP002</t>
        </is>
      </c>
      <c r="D259" s="14" t="inlineStr">
        <is>
          <t>IP DRUM PT 2</t>
        </is>
      </c>
      <c r="E259" s="37" t="n"/>
      <c r="F259" s="103" t="n">
        <v>-1.01</v>
      </c>
      <c r="G259" s="103" t="n">
        <v>275.79</v>
      </c>
      <c r="H259" s="103" t="n">
        <v>0</v>
      </c>
      <c r="I259" s="103" t="n">
        <v>60</v>
      </c>
      <c r="J259" s="4" t="inlineStr">
        <is>
          <t>Bar</t>
        </is>
      </c>
      <c r="K259" s="19" t="inlineStr">
        <is>
          <t>ROSEMOUNT</t>
        </is>
      </c>
      <c r="L259" s="19" t="inlineStr">
        <is>
          <t>2051 PT</t>
        </is>
      </c>
      <c r="M259" s="20" t="n">
        <v>3576001</v>
      </c>
      <c r="N259" s="2">
        <f>IF(E259="","Waiting","Calibrated")</f>
        <v/>
      </c>
      <c r="O259" s="2" t="n"/>
      <c r="P259" s="2" t="inlineStr">
        <is>
          <t>ZM06</t>
        </is>
      </c>
      <c r="Q259" s="2" t="n"/>
      <c r="R259" s="28" t="n"/>
      <c r="S259" s="28" t="inlineStr">
        <is>
          <t>12HAD30GH101</t>
        </is>
      </c>
      <c r="T259" s="32" t="n"/>
    </row>
    <row r="260" ht="30" customFormat="1" customHeight="1" s="5">
      <c r="A260" s="17" t="n">
        <v>258</v>
      </c>
      <c r="B260" s="17" t="inlineStr">
        <is>
          <t>KIPP12</t>
        </is>
      </c>
      <c r="C260" s="2" t="inlineStr">
        <is>
          <t>12HAD30CP003</t>
        </is>
      </c>
      <c r="D260" s="14" t="inlineStr">
        <is>
          <t>IP DRUM PT 3</t>
        </is>
      </c>
      <c r="E260" s="37" t="n"/>
      <c r="F260" s="103" t="n">
        <v>-1.01</v>
      </c>
      <c r="G260" s="103" t="n">
        <v>275.79</v>
      </c>
      <c r="H260" s="103" t="n">
        <v>0</v>
      </c>
      <c r="I260" s="103" t="n">
        <v>60</v>
      </c>
      <c r="J260" s="4" t="inlineStr">
        <is>
          <t>Bar</t>
        </is>
      </c>
      <c r="K260" s="19" t="inlineStr">
        <is>
          <t>ROSEMOUNT</t>
        </is>
      </c>
      <c r="L260" s="19" t="inlineStr">
        <is>
          <t>2051 PT</t>
        </is>
      </c>
      <c r="M260" s="20" t="n">
        <v>3576002</v>
      </c>
      <c r="N260" s="2">
        <f>IF(E260="","Waiting","Calibrated")</f>
        <v/>
      </c>
      <c r="O260" s="2" t="n"/>
      <c r="P260" s="2" t="inlineStr">
        <is>
          <t>ZM06</t>
        </is>
      </c>
      <c r="Q260" s="2" t="n"/>
      <c r="R260" s="28" t="n"/>
      <c r="S260" s="28" t="inlineStr">
        <is>
          <t>12HAD30GH101</t>
        </is>
      </c>
      <c r="T260" s="32" t="n"/>
    </row>
    <row r="261" ht="30" customFormat="1" customHeight="1" s="5">
      <c r="A261" s="17" t="n">
        <v>259</v>
      </c>
      <c r="B261" s="17" t="inlineStr">
        <is>
          <t>KIPP12</t>
        </is>
      </c>
      <c r="C261" s="2" t="inlineStr">
        <is>
          <t>12HAD50CL001</t>
        </is>
      </c>
      <c r="D261" s="14" t="inlineStr">
        <is>
          <t>HP DRUM LT 1</t>
        </is>
      </c>
      <c r="E261" s="37" t="n"/>
      <c r="F261" s="103" t="n">
        <v>-6350</v>
      </c>
      <c r="G261" s="103" t="n">
        <v>6350</v>
      </c>
      <c r="H261" s="103" t="n">
        <v>-39</v>
      </c>
      <c r="I261" s="103" t="n">
        <v>-1294</v>
      </c>
      <c r="J261" s="4" t="inlineStr">
        <is>
          <t>mmH2O</t>
        </is>
      </c>
      <c r="K261" s="33" t="inlineStr">
        <is>
          <t>ROSEMOUNT</t>
        </is>
      </c>
      <c r="L261" s="33" t="inlineStr">
        <is>
          <t>2051 PT</t>
        </is>
      </c>
      <c r="M261" s="20" t="n">
        <v>3576015</v>
      </c>
      <c r="N261" s="2">
        <f>IF(E261="","Waiting","Calibrated")</f>
        <v/>
      </c>
      <c r="O261" s="2" t="n"/>
      <c r="P261" s="2" t="inlineStr">
        <is>
          <t>ZM06</t>
        </is>
      </c>
      <c r="Q261" s="2" t="n"/>
      <c r="R261" s="28" t="n"/>
      <c r="S261" s="28" t="inlineStr">
        <is>
          <t>12HAC25GH101</t>
        </is>
      </c>
      <c r="T261" s="32" t="n"/>
    </row>
    <row r="262" ht="30" customFormat="1" customHeight="1" s="5">
      <c r="A262" s="17" t="n">
        <v>260</v>
      </c>
      <c r="B262" s="17" t="inlineStr">
        <is>
          <t>KIPP12</t>
        </is>
      </c>
      <c r="C262" s="2" t="inlineStr">
        <is>
          <t>12HAD50CL002</t>
        </is>
      </c>
      <c r="D262" s="14" t="inlineStr">
        <is>
          <t>HP DRUM LT 2</t>
        </is>
      </c>
      <c r="E262" s="37" t="n"/>
      <c r="F262" s="103" t="n">
        <v>-6350</v>
      </c>
      <c r="G262" s="103" t="n">
        <v>6350</v>
      </c>
      <c r="H262" s="103" t="n">
        <v>-39</v>
      </c>
      <c r="I262" s="103" t="n">
        <v>-1294</v>
      </c>
      <c r="J262" s="4" t="inlineStr">
        <is>
          <t>mmH2O</t>
        </is>
      </c>
      <c r="K262" s="33" t="inlineStr">
        <is>
          <t>ROSEMOUNT</t>
        </is>
      </c>
      <c r="L262" s="33" t="inlineStr">
        <is>
          <t>2051 PT</t>
        </is>
      </c>
      <c r="M262" s="20" t="n">
        <v>3576016</v>
      </c>
      <c r="N262" s="2">
        <f>IF(E262="","Waiting","Calibrated")</f>
        <v/>
      </c>
      <c r="O262" s="2" t="n"/>
      <c r="P262" s="2" t="inlineStr">
        <is>
          <t>ZM06</t>
        </is>
      </c>
      <c r="Q262" s="2" t="n"/>
      <c r="R262" s="28" t="n"/>
      <c r="S262" s="28" t="inlineStr">
        <is>
          <t>12HAD50GH102</t>
        </is>
      </c>
      <c r="T262" s="32" t="n"/>
    </row>
    <row r="263" ht="30" customFormat="1" customHeight="1" s="5">
      <c r="A263" s="17" t="n">
        <v>261</v>
      </c>
      <c r="B263" s="17" t="inlineStr">
        <is>
          <t>KIPP12</t>
        </is>
      </c>
      <c r="C263" s="2" t="inlineStr">
        <is>
          <t>12HAD50CL003</t>
        </is>
      </c>
      <c r="D263" s="14" t="inlineStr">
        <is>
          <t>HP DRUM LT 3</t>
        </is>
      </c>
      <c r="E263" s="37" t="n"/>
      <c r="F263" s="103" t="n">
        <v>-6350</v>
      </c>
      <c r="G263" s="103" t="n">
        <v>6350</v>
      </c>
      <c r="H263" s="103" t="n">
        <v>-33</v>
      </c>
      <c r="I263" s="103" t="n">
        <v>-1294</v>
      </c>
      <c r="J263" s="4" t="inlineStr">
        <is>
          <t>mmH2O</t>
        </is>
      </c>
      <c r="K263" s="33" t="inlineStr">
        <is>
          <t>ROSEMOUNT</t>
        </is>
      </c>
      <c r="L263" s="33" t="inlineStr">
        <is>
          <t>2051 PT</t>
        </is>
      </c>
      <c r="M263" s="20" t="n">
        <v>3576017</v>
      </c>
      <c r="N263" s="2">
        <f>IF(E263="","Waiting","Calibrated")</f>
        <v/>
      </c>
      <c r="O263" s="2" t="n"/>
      <c r="P263" s="2" t="inlineStr">
        <is>
          <t>ZM06</t>
        </is>
      </c>
      <c r="Q263" s="2" t="n"/>
      <c r="R263" s="28" t="n"/>
      <c r="S263" s="28" t="inlineStr">
        <is>
          <t>12HAD50GH102</t>
        </is>
      </c>
      <c r="T263" s="32" t="n"/>
    </row>
    <row r="264" ht="30" customFormat="1" customHeight="1" s="5">
      <c r="A264" s="17" t="n">
        <v>262</v>
      </c>
      <c r="B264" s="17" t="inlineStr">
        <is>
          <t>KIPP12</t>
        </is>
      </c>
      <c r="C264" s="2" t="inlineStr">
        <is>
          <t>12HAD50CP001</t>
        </is>
      </c>
      <c r="D264" s="14" t="inlineStr">
        <is>
          <t>HP DRUM PT 1</t>
        </is>
      </c>
      <c r="E264" s="37" t="n"/>
      <c r="F264" s="103" t="n">
        <v>0</v>
      </c>
      <c r="G264" s="103" t="n">
        <v>689.5</v>
      </c>
      <c r="H264" s="103" t="n">
        <v>0</v>
      </c>
      <c r="I264" s="103" t="n">
        <v>200</v>
      </c>
      <c r="J264" s="4" t="inlineStr">
        <is>
          <t>Bar</t>
        </is>
      </c>
      <c r="K264" s="19" t="inlineStr">
        <is>
          <t>ROSEMOUNT</t>
        </is>
      </c>
      <c r="L264" s="19" t="inlineStr">
        <is>
          <t>2051 PT</t>
        </is>
      </c>
      <c r="M264" s="20" t="n">
        <v>3575994</v>
      </c>
      <c r="N264" s="2">
        <f>IF(E264="","Waiting","Calibrated")</f>
        <v/>
      </c>
      <c r="O264" s="2" t="n"/>
      <c r="P264" s="2" t="inlineStr">
        <is>
          <t>ZM06</t>
        </is>
      </c>
      <c r="Q264" s="2" t="n"/>
      <c r="R264" s="28" t="n"/>
      <c r="S264" s="28" t="inlineStr">
        <is>
          <t>12HAD50GH101</t>
        </is>
      </c>
      <c r="T264" s="32" t="n"/>
    </row>
    <row r="265" ht="30" customFormat="1" customHeight="1" s="5">
      <c r="A265" s="17" t="n">
        <v>263</v>
      </c>
      <c r="B265" s="17" t="inlineStr">
        <is>
          <t>KIPP12</t>
        </is>
      </c>
      <c r="C265" s="2" t="inlineStr">
        <is>
          <t>12HAD50CP002</t>
        </is>
      </c>
      <c r="D265" s="14" t="inlineStr">
        <is>
          <t>HP DRUM PT 2</t>
        </is>
      </c>
      <c r="E265" s="37" t="n"/>
      <c r="F265" s="103" t="n">
        <v>0</v>
      </c>
      <c r="G265" s="103" t="n">
        <v>689.5</v>
      </c>
      <c r="H265" s="103" t="n">
        <v>0</v>
      </c>
      <c r="I265" s="103" t="n">
        <v>200</v>
      </c>
      <c r="J265" s="4" t="inlineStr">
        <is>
          <t>Bar</t>
        </is>
      </c>
      <c r="K265" s="19" t="inlineStr">
        <is>
          <t>ROSEMOUNT</t>
        </is>
      </c>
      <c r="L265" s="19" t="inlineStr">
        <is>
          <t>2051 PT</t>
        </is>
      </c>
      <c r="M265" s="20" t="n">
        <v>3575995</v>
      </c>
      <c r="N265" s="2">
        <f>IF(E265="","Waiting","Calibrated")</f>
        <v/>
      </c>
      <c r="O265" s="2" t="n"/>
      <c r="P265" s="2" t="inlineStr">
        <is>
          <t>ZM06</t>
        </is>
      </c>
      <c r="Q265" s="2" t="n"/>
      <c r="R265" s="28" t="n"/>
      <c r="S265" s="28" t="inlineStr">
        <is>
          <t>12HAD50GH101</t>
        </is>
      </c>
      <c r="T265" s="32" t="n"/>
    </row>
    <row r="266" ht="30" customFormat="1" customHeight="1" s="5">
      <c r="A266" s="17" t="n">
        <v>264</v>
      </c>
      <c r="B266" s="17" t="inlineStr">
        <is>
          <t>KIPP12</t>
        </is>
      </c>
      <c r="C266" s="2" t="inlineStr">
        <is>
          <t>12HAD50CP003</t>
        </is>
      </c>
      <c r="D266" s="14" t="inlineStr">
        <is>
          <t>HP DRUM PT 3</t>
        </is>
      </c>
      <c r="E266" s="37" t="n"/>
      <c r="F266" s="103" t="n">
        <v>0</v>
      </c>
      <c r="G266" s="103" t="n">
        <v>689.5</v>
      </c>
      <c r="H266" s="103" t="n">
        <v>0</v>
      </c>
      <c r="I266" s="103" t="n">
        <v>200</v>
      </c>
      <c r="J266" s="4" t="inlineStr">
        <is>
          <t>Bar</t>
        </is>
      </c>
      <c r="K266" s="19" t="inlineStr">
        <is>
          <t>ROSEMOUNT</t>
        </is>
      </c>
      <c r="L266" s="19" t="inlineStr">
        <is>
          <t>2051 PT</t>
        </is>
      </c>
      <c r="M266" s="20" t="n">
        <v>3575996</v>
      </c>
      <c r="N266" s="2">
        <f>IF(E266="","Waiting","Calibrated")</f>
        <v/>
      </c>
      <c r="O266" s="2" t="n"/>
      <c r="P266" s="2" t="inlineStr">
        <is>
          <t>ZM06</t>
        </is>
      </c>
      <c r="Q266" s="2" t="n"/>
      <c r="R266" s="28" t="n"/>
      <c r="S266" s="28" t="inlineStr">
        <is>
          <t>12HAD50GH101</t>
        </is>
      </c>
      <c r="T266" s="32" t="n"/>
    </row>
    <row r="267" ht="30" customFormat="1" customHeight="1" s="5">
      <c r="A267" s="17" t="n">
        <v>265</v>
      </c>
      <c r="B267" s="17" t="inlineStr">
        <is>
          <t>KIPP12</t>
        </is>
      </c>
      <c r="C267" s="2" t="inlineStr">
        <is>
          <t>12LAB20CF101</t>
        </is>
      </c>
      <c r="D267" s="14" t="inlineStr">
        <is>
          <t>HP STEAM BYPASS SPRAYAY WATER FT</t>
        </is>
      </c>
      <c r="E267" s="37" t="n"/>
      <c r="F267" s="103" t="n">
        <v>-6350</v>
      </c>
      <c r="G267" s="103" t="n">
        <v>6350</v>
      </c>
      <c r="H267" s="103" t="n">
        <v>0</v>
      </c>
      <c r="I267" s="103" t="n">
        <v>6300</v>
      </c>
      <c r="J267" s="4" t="inlineStr">
        <is>
          <t>mmH2O</t>
        </is>
      </c>
      <c r="K267" s="19" t="inlineStr">
        <is>
          <t>ROSEMOUNT</t>
        </is>
      </c>
      <c r="L267" s="19" t="inlineStr">
        <is>
          <t>2051 PT</t>
        </is>
      </c>
      <c r="M267" s="20" t="n">
        <v>214441</v>
      </c>
      <c r="N267" s="2">
        <f>IF(E267="","Waiting","Calibrated")</f>
        <v/>
      </c>
      <c r="O267" s="2" t="n"/>
      <c r="P267" s="2" t="inlineStr">
        <is>
          <t>ZM06</t>
        </is>
      </c>
      <c r="Q267" s="2" t="n"/>
      <c r="R267" s="28" t="n"/>
      <c r="S267" s="28" t="n"/>
      <c r="T267" s="32" t="n"/>
    </row>
    <row r="268" ht="30" customFormat="1" customHeight="1" s="5">
      <c r="A268" s="17" t="n">
        <v>266</v>
      </c>
      <c r="B268" s="17" t="inlineStr">
        <is>
          <t>KIPP12</t>
        </is>
      </c>
      <c r="C268" s="2" t="inlineStr">
        <is>
          <t>12LAB31CF101</t>
        </is>
      </c>
      <c r="D268" s="14" t="inlineStr">
        <is>
          <t>FW FROM CONDENSATE PREHEATER FT</t>
        </is>
      </c>
      <c r="E268" s="37" t="n"/>
      <c r="F268" s="103" t="n">
        <v>-10197.2</v>
      </c>
      <c r="G268" s="103" t="n">
        <v>10197.2</v>
      </c>
      <c r="H268" s="103" t="n">
        <v>0</v>
      </c>
      <c r="I268" s="103" t="n">
        <v>7500</v>
      </c>
      <c r="J268" s="4" t="inlineStr">
        <is>
          <t>mmH2O</t>
        </is>
      </c>
      <c r="K268" s="19" t="inlineStr">
        <is>
          <t>YOKOGAWA</t>
        </is>
      </c>
      <c r="L268" s="19" t="inlineStr">
        <is>
          <t>EJA110E</t>
        </is>
      </c>
      <c r="M268" s="19" t="inlineStr">
        <is>
          <t>91S313067</t>
        </is>
      </c>
      <c r="N268" s="2">
        <f>IF(E268="","Waiting","Calibrated")</f>
        <v/>
      </c>
      <c r="O268" s="2" t="n"/>
      <c r="P268" s="2" t="inlineStr">
        <is>
          <t>ZM06</t>
        </is>
      </c>
      <c r="Q268" s="2" t="n"/>
      <c r="R268" s="28" t="n"/>
      <c r="S268" s="28" t="inlineStr">
        <is>
          <t>10LAB10GH101</t>
        </is>
      </c>
      <c r="T268" s="32" t="n"/>
    </row>
    <row r="269" ht="30" customFormat="1" customHeight="1" s="5">
      <c r="A269" s="17" t="n">
        <v>267</v>
      </c>
      <c r="B269" s="17" t="inlineStr">
        <is>
          <t>KIPP12</t>
        </is>
      </c>
      <c r="C269" s="2" t="inlineStr">
        <is>
          <t>12LAB46CP001</t>
        </is>
      </c>
      <c r="D269" s="14" t="inlineStr">
        <is>
          <t>IP/LP FW PT</t>
        </is>
      </c>
      <c r="E269" s="37" t="n"/>
      <c r="F269" s="103" t="n">
        <v>-1.01</v>
      </c>
      <c r="G269" s="103" t="n">
        <v>275.79</v>
      </c>
      <c r="H269" s="103" t="n">
        <v>0</v>
      </c>
      <c r="I269" s="103" t="n">
        <v>100</v>
      </c>
      <c r="J269" s="4" t="inlineStr">
        <is>
          <t>Bar</t>
        </is>
      </c>
      <c r="K269" s="19" t="inlineStr">
        <is>
          <t>ROSEMOUNT</t>
        </is>
      </c>
      <c r="L269" s="19" t="inlineStr">
        <is>
          <t>2051 PT</t>
        </is>
      </c>
      <c r="M269" s="20" t="n">
        <v>210448</v>
      </c>
      <c r="N269" s="2">
        <f>IF(E269="","Waiting","Calibrated")</f>
        <v/>
      </c>
      <c r="O269" s="2" t="n"/>
      <c r="P269" s="2" t="inlineStr">
        <is>
          <t>ZM06</t>
        </is>
      </c>
      <c r="Q269" s="2" t="n"/>
      <c r="R269" s="28" t="n"/>
      <c r="S269" s="28" t="inlineStr">
        <is>
          <t>12LAB46GH101</t>
        </is>
      </c>
      <c r="T269" s="32" t="n"/>
    </row>
    <row r="270" ht="30" customFormat="1" customHeight="1" s="5">
      <c r="A270" s="17" t="n">
        <v>268</v>
      </c>
      <c r="B270" s="17" t="inlineStr">
        <is>
          <t>KIPP12</t>
        </is>
      </c>
      <c r="C270" s="2" t="inlineStr">
        <is>
          <t>12LAB96CP001</t>
        </is>
      </c>
      <c r="D270" s="14" t="inlineStr">
        <is>
          <t>HP FW PT</t>
        </is>
      </c>
      <c r="E270" s="37" t="n"/>
      <c r="F270" s="103" t="n">
        <v>0</v>
      </c>
      <c r="G270" s="103" t="n">
        <v>689.5</v>
      </c>
      <c r="H270" s="103" t="n">
        <v>0</v>
      </c>
      <c r="I270" s="103" t="n">
        <v>300</v>
      </c>
      <c r="J270" s="4" t="inlineStr">
        <is>
          <t>Bar</t>
        </is>
      </c>
      <c r="K270" s="19" t="inlineStr">
        <is>
          <t>ROSEMOUNT</t>
        </is>
      </c>
      <c r="L270" s="19" t="inlineStr">
        <is>
          <t>2051 PT</t>
        </is>
      </c>
      <c r="M270" s="20" t="n">
        <v>210442</v>
      </c>
      <c r="N270" s="2">
        <f>IF(E270="","Waiting","Calibrated")</f>
        <v/>
      </c>
      <c r="O270" s="2" t="n"/>
      <c r="P270" s="2" t="inlineStr">
        <is>
          <t>ZM06</t>
        </is>
      </c>
      <c r="Q270" s="2" t="n"/>
      <c r="R270" s="28" t="n"/>
      <c r="S270" s="28" t="inlineStr">
        <is>
          <t>12LAB96GH101</t>
        </is>
      </c>
      <c r="T270" s="32" t="n"/>
    </row>
    <row r="271" ht="30" customFormat="1" customHeight="1" s="5">
      <c r="A271" s="17" t="n">
        <v>269</v>
      </c>
      <c r="B271" s="17" t="inlineStr">
        <is>
          <t>KIPP12</t>
        </is>
      </c>
      <c r="C271" s="2" t="inlineStr">
        <is>
          <t>12LAE50CF002</t>
        </is>
      </c>
      <c r="D271" s="14" t="inlineStr">
        <is>
          <t>HP DESUPERHEATER SPRAY FT 1</t>
        </is>
      </c>
      <c r="E271" s="37" t="n"/>
      <c r="F271" s="103" t="n">
        <v>-621.6</v>
      </c>
      <c r="G271" s="103" t="n">
        <v>621.6</v>
      </c>
      <c r="H271" s="103" t="n">
        <v>0</v>
      </c>
      <c r="I271" s="103" t="n">
        <v>524</v>
      </c>
      <c r="J271" s="4" t="inlineStr">
        <is>
          <t>mBar</t>
        </is>
      </c>
      <c r="K271" s="19" t="inlineStr">
        <is>
          <t>ROSEMOUNT</t>
        </is>
      </c>
      <c r="L271" s="19" t="inlineStr">
        <is>
          <t>2051 PT</t>
        </is>
      </c>
      <c r="M271" s="19" t="n">
        <v>214465</v>
      </c>
      <c r="N271" s="2">
        <f>IF(E271="","Waiting","Calibrated")</f>
        <v/>
      </c>
      <c r="O271" s="2" t="n"/>
      <c r="P271" s="2" t="inlineStr">
        <is>
          <t>ZM06</t>
        </is>
      </c>
      <c r="Q271" s="2" t="n"/>
      <c r="R271" s="28" t="n"/>
      <c r="S271" s="28" t="inlineStr">
        <is>
          <t>12LAE50GH101</t>
        </is>
      </c>
      <c r="T271" s="32" t="n"/>
    </row>
    <row r="272" ht="30" customFormat="1" customHeight="1" s="5">
      <c r="A272" s="17" t="n">
        <v>270</v>
      </c>
      <c r="B272" s="17" t="inlineStr">
        <is>
          <t>KIPP12</t>
        </is>
      </c>
      <c r="C272" s="2" t="inlineStr">
        <is>
          <t>12LAE50CF003</t>
        </is>
      </c>
      <c r="D272" s="14" t="inlineStr">
        <is>
          <t>HP DESUPERHEATER SPRAY FT 2</t>
        </is>
      </c>
      <c r="E272" s="37" t="n"/>
      <c r="F272" s="103" t="n">
        <v>-621.6</v>
      </c>
      <c r="G272" s="103" t="n">
        <v>621.6</v>
      </c>
      <c r="H272" s="103" t="n">
        <v>0</v>
      </c>
      <c r="I272" s="103" t="n">
        <v>524</v>
      </c>
      <c r="J272" s="4" t="inlineStr">
        <is>
          <t>mBar</t>
        </is>
      </c>
      <c r="K272" s="19" t="inlineStr">
        <is>
          <t>ROSEMOUNT</t>
        </is>
      </c>
      <c r="L272" s="19" t="inlineStr">
        <is>
          <t>2051 PT</t>
        </is>
      </c>
      <c r="M272" s="19" t="n">
        <v>214466</v>
      </c>
      <c r="N272" s="2">
        <f>IF(E272="","Waiting","Calibrated")</f>
        <v/>
      </c>
      <c r="O272" s="2" t="n"/>
      <c r="P272" s="2" t="inlineStr">
        <is>
          <t>ZM06</t>
        </is>
      </c>
      <c r="Q272" s="2" t="n"/>
      <c r="R272" s="28" t="n"/>
      <c r="S272" s="28" t="inlineStr">
        <is>
          <t>12LAE50GH101</t>
        </is>
      </c>
      <c r="T272" s="32" t="n"/>
    </row>
    <row r="273" ht="30" customFormat="1" customHeight="1" s="5">
      <c r="A273" s="17" t="n">
        <v>271</v>
      </c>
      <c r="B273" s="17" t="inlineStr">
        <is>
          <t>KIPP12</t>
        </is>
      </c>
      <c r="C273" s="2" t="inlineStr">
        <is>
          <t>12LAF40CF002</t>
        </is>
      </c>
      <c r="D273" s="14" t="inlineStr">
        <is>
          <t>RH DESUPERHEATER SPRAY FT 1</t>
        </is>
      </c>
      <c r="E273" s="37" t="n"/>
      <c r="F273" s="103" t="n">
        <v>-635</v>
      </c>
      <c r="G273" s="103" t="n">
        <v>635</v>
      </c>
      <c r="H273" s="103" t="n">
        <v>0</v>
      </c>
      <c r="I273" s="103" t="n">
        <v>322</v>
      </c>
      <c r="J273" s="4" t="inlineStr">
        <is>
          <t>mbar</t>
        </is>
      </c>
      <c r="K273" s="19" t="inlineStr">
        <is>
          <t>ROSEMOUNT</t>
        </is>
      </c>
      <c r="L273" s="19" t="inlineStr">
        <is>
          <t>2051 PT</t>
        </is>
      </c>
      <c r="M273" s="19" t="n">
        <v>214480</v>
      </c>
      <c r="N273" s="2">
        <f>IF(E273="","Waiting","Calibrated")</f>
        <v/>
      </c>
      <c r="O273" s="2" t="n"/>
      <c r="P273" s="2" t="inlineStr">
        <is>
          <t>ZM06</t>
        </is>
      </c>
      <c r="Q273" s="2" t="n"/>
      <c r="R273" s="28" t="n"/>
      <c r="S273" s="28" t="inlineStr">
        <is>
          <t>12LAB46GH101</t>
        </is>
      </c>
      <c r="T273" s="32" t="n"/>
    </row>
    <row r="274" ht="30" customFormat="1" customHeight="1" s="5">
      <c r="A274" s="17" t="n">
        <v>272</v>
      </c>
      <c r="B274" s="17" t="inlineStr">
        <is>
          <t>KIPP12</t>
        </is>
      </c>
      <c r="C274" s="2" t="inlineStr">
        <is>
          <t>12LAF40CF003</t>
        </is>
      </c>
      <c r="D274" s="14" t="inlineStr">
        <is>
          <t>RH DESUPERHEATER SPRAY FT 2</t>
        </is>
      </c>
      <c r="E274" s="37" t="n"/>
      <c r="F274" s="103" t="n">
        <v>-635</v>
      </c>
      <c r="G274" s="103" t="n">
        <v>635</v>
      </c>
      <c r="H274" s="103" t="n">
        <v>0</v>
      </c>
      <c r="I274" s="103" t="n">
        <v>322</v>
      </c>
      <c r="J274" s="4" t="inlineStr">
        <is>
          <t>mBar</t>
        </is>
      </c>
      <c r="K274" s="19" t="inlineStr">
        <is>
          <t>ROSEMOUNT</t>
        </is>
      </c>
      <c r="L274" s="19" t="inlineStr">
        <is>
          <t>2051 PT</t>
        </is>
      </c>
      <c r="M274" s="19" t="n">
        <v>214481</v>
      </c>
      <c r="N274" s="2">
        <f>IF(E274="","Waiting","Calibrated")</f>
        <v/>
      </c>
      <c r="O274" s="2" t="n"/>
      <c r="P274" s="2" t="inlineStr">
        <is>
          <t>ZM06</t>
        </is>
      </c>
      <c r="Q274" s="2" t="n"/>
      <c r="R274" s="28" t="n"/>
      <c r="S274" s="28" t="inlineStr">
        <is>
          <t>12LAB46GH101</t>
        </is>
      </c>
      <c r="T274" s="32" t="n"/>
    </row>
    <row r="275" ht="30" customFormat="1" customHeight="1" s="5">
      <c r="A275" s="17" t="n">
        <v>273</v>
      </c>
      <c r="B275" s="17" t="inlineStr">
        <is>
          <t>KIPP12</t>
        </is>
      </c>
      <c r="C275" s="2" t="inlineStr">
        <is>
          <t>12LBA00CP101</t>
        </is>
      </c>
      <c r="D275" s="14" t="inlineStr">
        <is>
          <t>HIGH PRESSURE STEAM PRESSURE</t>
        </is>
      </c>
      <c r="E275" s="37" t="n">
        <v>46098</v>
      </c>
      <c r="F275" s="103" t="n">
        <v>-1</v>
      </c>
      <c r="G275" s="103" t="n">
        <v>500</v>
      </c>
      <c r="H275" s="103" t="n">
        <v>0</v>
      </c>
      <c r="I275" s="103" t="n">
        <v>151</v>
      </c>
      <c r="J275" s="4" t="inlineStr">
        <is>
          <t>Bar</t>
        </is>
      </c>
      <c r="K275" s="19" t="inlineStr">
        <is>
          <t>ROSEMOUNT</t>
        </is>
      </c>
      <c r="L275" s="19" t="inlineStr">
        <is>
          <t>EJA530E</t>
        </is>
      </c>
      <c r="M275" s="19" t="inlineStr">
        <is>
          <t>91S313316</t>
        </is>
      </c>
      <c r="N275" s="2">
        <f>IF(E275="","Waiting","Calibrated")</f>
        <v/>
      </c>
      <c r="O275" s="2" t="n"/>
      <c r="P275" s="2" t="inlineStr">
        <is>
          <t>ZM06</t>
        </is>
      </c>
      <c r="Q275" s="2" t="n"/>
      <c r="R275" s="28" t="n"/>
      <c r="S275" s="28" t="n"/>
      <c r="T275" s="32" t="n"/>
    </row>
    <row r="276" ht="30" customFormat="1" customHeight="1" s="5">
      <c r="A276" s="17" t="n">
        <v>274</v>
      </c>
      <c r="B276" s="17" t="inlineStr">
        <is>
          <t>KIPP12</t>
        </is>
      </c>
      <c r="C276" s="2" t="inlineStr">
        <is>
          <t>12LBA10CF002</t>
        </is>
      </c>
      <c r="D276" s="14" t="inlineStr">
        <is>
          <t>LP STEAM O/L FT 1</t>
        </is>
      </c>
      <c r="E276" s="37" t="n">
        <v>46097</v>
      </c>
      <c r="F276" s="103" t="n">
        <v>-621.6</v>
      </c>
      <c r="G276" s="103" t="n">
        <v>621.6</v>
      </c>
      <c r="H276" s="103" t="n">
        <v>0</v>
      </c>
      <c r="I276" s="103" t="n">
        <v>115</v>
      </c>
      <c r="J276" s="4" t="inlineStr">
        <is>
          <t>mBar</t>
        </is>
      </c>
      <c r="K276" s="19" t="inlineStr">
        <is>
          <t>ROSEMOUNT</t>
        </is>
      </c>
      <c r="L276" s="19" t="inlineStr">
        <is>
          <t>2051 PT</t>
        </is>
      </c>
      <c r="M276" s="19" t="n">
        <v>214635</v>
      </c>
      <c r="N276" s="2">
        <f>IF(E276="","Waiting","Calibrated")</f>
        <v/>
      </c>
      <c r="O276" s="2" t="n"/>
      <c r="P276" s="2" t="inlineStr">
        <is>
          <t>ZM06</t>
        </is>
      </c>
      <c r="Q276" s="2" t="n"/>
      <c r="R276" s="28" t="n"/>
      <c r="S276" s="28" t="inlineStr">
        <is>
          <t>12LAB96GH101</t>
        </is>
      </c>
      <c r="T276" s="32" t="n"/>
    </row>
    <row r="277" ht="30" customFormat="1" customHeight="1" s="5">
      <c r="A277" s="17" t="n">
        <v>275</v>
      </c>
      <c r="B277" s="17" t="inlineStr">
        <is>
          <t>KIPP12</t>
        </is>
      </c>
      <c r="C277" s="2" t="inlineStr">
        <is>
          <t>12LBA10CF003</t>
        </is>
      </c>
      <c r="D277" s="14" t="inlineStr">
        <is>
          <t>LP STEAM O/L FT 2</t>
        </is>
      </c>
      <c r="E277" s="37" t="n">
        <v>46097</v>
      </c>
      <c r="F277" s="103" t="n">
        <v>-621.6</v>
      </c>
      <c r="G277" s="103" t="n">
        <v>621.6</v>
      </c>
      <c r="H277" s="103" t="n">
        <v>0</v>
      </c>
      <c r="I277" s="103" t="n">
        <v>115</v>
      </c>
      <c r="J277" s="4" t="inlineStr">
        <is>
          <t>mBar</t>
        </is>
      </c>
      <c r="K277" s="19" t="inlineStr">
        <is>
          <t>ROSEMOUNT</t>
        </is>
      </c>
      <c r="L277" s="19" t="inlineStr">
        <is>
          <t>2051 PT</t>
        </is>
      </c>
      <c r="M277" s="19" t="n">
        <v>214636</v>
      </c>
      <c r="N277" s="2">
        <f>IF(E277="","Waiting","Calibrated")</f>
        <v/>
      </c>
      <c r="O277" s="2" t="n"/>
      <c r="P277" s="2" t="inlineStr">
        <is>
          <t>ZM06</t>
        </is>
      </c>
      <c r="Q277" s="2" t="n"/>
      <c r="R277" s="28" t="n"/>
      <c r="S277" s="28" t="inlineStr">
        <is>
          <t>12LAB96GH101</t>
        </is>
      </c>
      <c r="T277" s="32" t="n"/>
    </row>
    <row r="278" ht="30" customFormat="1" customHeight="1" s="5">
      <c r="A278" s="17" t="n">
        <v>276</v>
      </c>
      <c r="B278" s="17" t="inlineStr">
        <is>
          <t>KIPP12</t>
        </is>
      </c>
      <c r="C278" s="2" t="inlineStr">
        <is>
          <t>12LBA10CP001</t>
        </is>
      </c>
      <c r="D278" s="14" t="inlineStr">
        <is>
          <t>LP STEAM PT</t>
        </is>
      </c>
      <c r="E278" s="37" t="n">
        <v>46105</v>
      </c>
      <c r="F278" s="103" t="n">
        <v>-1</v>
      </c>
      <c r="G278" s="103" t="n">
        <v>55.16</v>
      </c>
      <c r="H278" s="103" t="n">
        <v>0</v>
      </c>
      <c r="I278" s="103" t="n">
        <v>15</v>
      </c>
      <c r="J278" s="4" t="inlineStr">
        <is>
          <t>Bar</t>
        </is>
      </c>
      <c r="K278" s="19" t="inlineStr">
        <is>
          <t>ROSEMOUNT</t>
        </is>
      </c>
      <c r="L278" s="19" t="inlineStr">
        <is>
          <t>2051 PT</t>
        </is>
      </c>
      <c r="M278" s="20" t="n">
        <v>210454</v>
      </c>
      <c r="N278" s="2">
        <f>IF(E278="","Waiting","Calibrated")</f>
        <v/>
      </c>
      <c r="O278" s="2" t="n"/>
      <c r="P278" s="2" t="inlineStr">
        <is>
          <t>ZM06</t>
        </is>
      </c>
      <c r="Q278" s="2" t="n"/>
      <c r="R278" s="28" t="n"/>
      <c r="S278" s="28" t="inlineStr">
        <is>
          <t>12LAB96GH101</t>
        </is>
      </c>
      <c r="T278" s="32" t="n"/>
    </row>
    <row r="279" ht="30" customFormat="1" customHeight="1" s="5">
      <c r="A279" s="17" t="n">
        <v>277</v>
      </c>
      <c r="B279" s="17" t="inlineStr">
        <is>
          <t>KIPP12</t>
        </is>
      </c>
      <c r="C279" s="2" t="inlineStr">
        <is>
          <t>12LBA20CP101</t>
        </is>
      </c>
      <c r="D279" s="14" t="inlineStr">
        <is>
          <t>HP BYPASS VALVE OUTLET PRESSURE A</t>
        </is>
      </c>
      <c r="E279" s="37" t="n">
        <v>46098</v>
      </c>
      <c r="F279" s="103" t="n">
        <v>-1</v>
      </c>
      <c r="G279" s="103" t="n">
        <v>100</v>
      </c>
      <c r="H279" s="103" t="n">
        <v>0</v>
      </c>
      <c r="I279" s="103" t="n">
        <v>43</v>
      </c>
      <c r="J279" s="4" t="inlineStr">
        <is>
          <t>Bar</t>
        </is>
      </c>
      <c r="K279" s="19" t="inlineStr">
        <is>
          <t>YOKOGAWA</t>
        </is>
      </c>
      <c r="L279" s="19" t="inlineStr">
        <is>
          <t>EJA530E</t>
        </is>
      </c>
      <c r="M279" s="19" t="inlineStr">
        <is>
          <t>91S313284</t>
        </is>
      </c>
      <c r="N279" s="2">
        <f>IF(E279="","Waiting","Calibrated")</f>
        <v/>
      </c>
      <c r="O279" s="2" t="n"/>
      <c r="P279" s="2" t="inlineStr">
        <is>
          <t>ZM06</t>
        </is>
      </c>
      <c r="Q279" s="2" t="n"/>
      <c r="R279" s="28" t="n"/>
      <c r="S279" s="28" t="n"/>
      <c r="T279" s="32" t="n"/>
    </row>
    <row r="280" ht="30" customFormat="1" customHeight="1" s="5">
      <c r="A280" s="17" t="n">
        <v>278</v>
      </c>
      <c r="B280" s="17" t="inlineStr">
        <is>
          <t>KIPP12</t>
        </is>
      </c>
      <c r="C280" s="2" t="inlineStr">
        <is>
          <t>12LBA20CP102</t>
        </is>
      </c>
      <c r="D280" s="14" t="inlineStr">
        <is>
          <t>HP BYPASS VALVE OUTLET PRESSURE B</t>
        </is>
      </c>
      <c r="E280" s="37" t="n">
        <v>46098</v>
      </c>
      <c r="F280" s="103" t="n">
        <v>-1</v>
      </c>
      <c r="G280" s="103" t="n">
        <v>100</v>
      </c>
      <c r="H280" s="103" t="n">
        <v>0</v>
      </c>
      <c r="I280" s="103" t="n">
        <v>43</v>
      </c>
      <c r="J280" s="4" t="inlineStr">
        <is>
          <t>Bar</t>
        </is>
      </c>
      <c r="K280" s="19" t="inlineStr">
        <is>
          <t>YOKOGAWA</t>
        </is>
      </c>
      <c r="L280" s="19" t="inlineStr">
        <is>
          <t>EJA530E</t>
        </is>
      </c>
      <c r="M280" s="19" t="inlineStr">
        <is>
          <t>91S313285</t>
        </is>
      </c>
      <c r="N280" s="2">
        <f>IF(E280="","Waiting","Calibrated")</f>
        <v/>
      </c>
      <c r="O280" s="2" t="n"/>
      <c r="P280" s="2" t="inlineStr">
        <is>
          <t>ZM06</t>
        </is>
      </c>
      <c r="Q280" s="2" t="n"/>
      <c r="R280" s="28" t="n"/>
      <c r="S280" s="28" t="n"/>
      <c r="T280" s="32" t="n"/>
    </row>
    <row r="281" ht="30" customFormat="1" customHeight="1" s="5">
      <c r="A281" s="17" t="n">
        <v>279</v>
      </c>
      <c r="B281" s="17" t="inlineStr">
        <is>
          <t>KIPP12</t>
        </is>
      </c>
      <c r="C281" s="2" t="inlineStr">
        <is>
          <t>12LBA30CF002</t>
        </is>
      </c>
      <c r="D281" s="14" t="inlineStr">
        <is>
          <t>IP STEAM O/L FT 1</t>
        </is>
      </c>
      <c r="E281" s="37" t="n"/>
      <c r="F281" s="103" t="n">
        <v>-621.6</v>
      </c>
      <c r="G281" s="103" t="n">
        <v>621.6</v>
      </c>
      <c r="H281" s="103" t="n">
        <v>0</v>
      </c>
      <c r="I281" s="103" t="n">
        <v>322</v>
      </c>
      <c r="J281" s="4" t="inlineStr">
        <is>
          <t>mBar</t>
        </is>
      </c>
      <c r="K281" s="19" t="inlineStr">
        <is>
          <t>ROSEMOUNT</t>
        </is>
      </c>
      <c r="L281" s="19" t="inlineStr">
        <is>
          <t>2051 PT</t>
        </is>
      </c>
      <c r="M281" s="19" t="n">
        <v>214482</v>
      </c>
      <c r="N281" s="2">
        <f>IF(E281="","Waiting","Calibrated")</f>
        <v/>
      </c>
      <c r="O281" s="2" t="n"/>
      <c r="P281" s="2" t="inlineStr">
        <is>
          <t>ZM06</t>
        </is>
      </c>
      <c r="Q281" s="2" t="n"/>
      <c r="R281" s="28" t="n"/>
      <c r="S281" s="28" t="inlineStr">
        <is>
          <t>12LBA30GH101</t>
        </is>
      </c>
      <c r="T281" s="32" t="n"/>
    </row>
    <row r="282" ht="30" customFormat="1" customHeight="1" s="5">
      <c r="A282" s="17" t="n">
        <v>280</v>
      </c>
      <c r="B282" s="17" t="inlineStr">
        <is>
          <t>KIPP12</t>
        </is>
      </c>
      <c r="C282" s="2" t="inlineStr">
        <is>
          <t>12LBA30CF003</t>
        </is>
      </c>
      <c r="D282" s="14" t="inlineStr">
        <is>
          <t>IP STEAM O/L FT 2</t>
        </is>
      </c>
      <c r="E282" s="37" t="n"/>
      <c r="F282" s="103" t="n">
        <v>-621.6</v>
      </c>
      <c r="G282" s="103" t="n">
        <v>621.6</v>
      </c>
      <c r="H282" s="103" t="n">
        <v>0</v>
      </c>
      <c r="I282" s="103" t="n">
        <v>322</v>
      </c>
      <c r="J282" s="4" t="inlineStr">
        <is>
          <t>mBar</t>
        </is>
      </c>
      <c r="K282" s="19" t="inlineStr">
        <is>
          <t>ROSEMOUNT</t>
        </is>
      </c>
      <c r="L282" s="19" t="inlineStr">
        <is>
          <t>2051 PT</t>
        </is>
      </c>
      <c r="M282" s="19" t="n">
        <v>214483</v>
      </c>
      <c r="N282" s="2">
        <f>IF(E282="","Waiting","Calibrated")</f>
        <v/>
      </c>
      <c r="O282" s="2" t="n"/>
      <c r="P282" s="2" t="inlineStr">
        <is>
          <t>ZM06</t>
        </is>
      </c>
      <c r="Q282" s="2" t="n"/>
      <c r="R282" s="28" t="n"/>
      <c r="S282" s="28" t="inlineStr">
        <is>
          <t>12LBA30GH101</t>
        </is>
      </c>
      <c r="T282" s="32" t="n"/>
    </row>
    <row r="283" ht="30" customFormat="1" customHeight="1" s="5">
      <c r="A283" s="17" t="n">
        <v>281</v>
      </c>
      <c r="B283" s="17" t="inlineStr">
        <is>
          <t>KIPP12</t>
        </is>
      </c>
      <c r="C283" s="2" t="inlineStr">
        <is>
          <t>12LBA30CP001</t>
        </is>
      </c>
      <c r="D283" s="14" t="inlineStr">
        <is>
          <t>IP STEAM O/L PT</t>
        </is>
      </c>
      <c r="E283" s="37" t="n"/>
      <c r="F283" s="103" t="n">
        <v>-1.01</v>
      </c>
      <c r="G283" s="103" t="n">
        <v>275.79</v>
      </c>
      <c r="H283" s="103" t="n">
        <v>0</v>
      </c>
      <c r="I283" s="103" t="n">
        <v>60</v>
      </c>
      <c r="J283" s="4" t="inlineStr">
        <is>
          <t>Bar</t>
        </is>
      </c>
      <c r="K283" s="19" t="inlineStr">
        <is>
          <t>ROSEMOUNT</t>
        </is>
      </c>
      <c r="L283" s="19" t="inlineStr">
        <is>
          <t>2051 PT</t>
        </is>
      </c>
      <c r="M283" s="20" t="n">
        <v>210449</v>
      </c>
      <c r="N283" s="2">
        <f>IF(E283="","Waiting","Calibrated")</f>
        <v/>
      </c>
      <c r="O283" s="2" t="n"/>
      <c r="P283" s="2" t="inlineStr">
        <is>
          <t>ZM06</t>
        </is>
      </c>
      <c r="Q283" s="2" t="n"/>
      <c r="R283" s="28" t="n"/>
      <c r="S283" s="28" t="inlineStr">
        <is>
          <t>12LBA30GH101</t>
        </is>
      </c>
      <c r="T283" s="32" t="n"/>
    </row>
    <row r="284" ht="30" customFormat="1" customHeight="1" s="5">
      <c r="A284" s="17" t="n">
        <v>282</v>
      </c>
      <c r="B284" s="17" t="inlineStr">
        <is>
          <t>KIPP12</t>
        </is>
      </c>
      <c r="C284" s="2" t="inlineStr">
        <is>
          <t>12LBA31CP101</t>
        </is>
      </c>
      <c r="D284" s="14" t="inlineStr">
        <is>
          <t>LP STEAM PT</t>
        </is>
      </c>
      <c r="E284" s="37" t="n">
        <v>46105</v>
      </c>
      <c r="F284" s="103" t="n">
        <v>-1</v>
      </c>
      <c r="G284" s="103" t="n">
        <v>20</v>
      </c>
      <c r="H284" s="103" t="n">
        <v>0</v>
      </c>
      <c r="I284" s="103" t="n">
        <v>10</v>
      </c>
      <c r="J284" s="4" t="inlineStr">
        <is>
          <t>Bar</t>
        </is>
      </c>
      <c r="K284" s="19" t="inlineStr">
        <is>
          <t>YOKOGAWA</t>
        </is>
      </c>
      <c r="L284" s="19" t="inlineStr">
        <is>
          <t>EJA530E</t>
        </is>
      </c>
      <c r="M284" s="19" t="inlineStr">
        <is>
          <t>91S313229</t>
        </is>
      </c>
      <c r="N284" s="2">
        <f>IF(E284="","Waiting","Calibrated")</f>
        <v/>
      </c>
      <c r="O284" s="2" t="n"/>
      <c r="P284" s="2" t="inlineStr">
        <is>
          <t>ZM06</t>
        </is>
      </c>
      <c r="Q284" s="2" t="n"/>
      <c r="R284" s="28" t="n"/>
      <c r="S284" s="28" t="n"/>
      <c r="T284" s="32" t="n"/>
    </row>
    <row r="285" ht="30" customFormat="1" customHeight="1" s="5">
      <c r="A285" s="17" t="n">
        <v>283</v>
      </c>
      <c r="B285" s="17" t="inlineStr">
        <is>
          <t>KIPP12</t>
        </is>
      </c>
      <c r="C285" s="2" t="inlineStr">
        <is>
          <t>12LBA40CP101</t>
        </is>
      </c>
      <c r="D285" s="14" t="inlineStr">
        <is>
          <t>LP STEAM BYPASS VALVE OUTLET PT</t>
        </is>
      </c>
      <c r="E285" s="37" t="n">
        <v>46104</v>
      </c>
      <c r="F285" s="103" t="n">
        <v>-1</v>
      </c>
      <c r="G285" s="103" t="n">
        <v>20</v>
      </c>
      <c r="H285" s="103" t="n">
        <v>0</v>
      </c>
      <c r="I285" s="103" t="n">
        <v>4</v>
      </c>
      <c r="J285" s="4" t="inlineStr">
        <is>
          <t>Bar</t>
        </is>
      </c>
      <c r="K285" s="19" t="inlineStr">
        <is>
          <t>YOKOGAWA</t>
        </is>
      </c>
      <c r="L285" s="19" t="inlineStr">
        <is>
          <t>EJA530E</t>
        </is>
      </c>
      <c r="M285" s="19" t="inlineStr">
        <is>
          <t>91S313230</t>
        </is>
      </c>
      <c r="N285" s="2">
        <f>IF(E285="","Waiting","Calibrated")</f>
        <v/>
      </c>
      <c r="O285" s="2" t="n"/>
      <c r="P285" s="2" t="inlineStr">
        <is>
          <t>ZM06</t>
        </is>
      </c>
      <c r="Q285" s="2" t="n"/>
      <c r="R285" s="28" t="n"/>
      <c r="S285" s="28" t="n"/>
      <c r="T285" s="32" t="n"/>
    </row>
    <row r="286" ht="30" customFormat="1" customHeight="1" s="5">
      <c r="A286" s="17" t="n">
        <v>284</v>
      </c>
      <c r="B286" s="17" t="inlineStr">
        <is>
          <t>KIPP12</t>
        </is>
      </c>
      <c r="C286" s="2" t="inlineStr">
        <is>
          <t>12LBA40CP102</t>
        </is>
      </c>
      <c r="D286" s="14" t="inlineStr">
        <is>
          <t>LP STEAM BYPASS VALVE OUTLET PT</t>
        </is>
      </c>
      <c r="E286" s="37" t="n">
        <v>46104</v>
      </c>
      <c r="F286" s="103" t="n">
        <v>-1</v>
      </c>
      <c r="G286" s="103" t="n">
        <v>20</v>
      </c>
      <c r="H286" s="103" t="n">
        <v>0</v>
      </c>
      <c r="I286" s="103" t="n">
        <v>4</v>
      </c>
      <c r="J286" s="4" t="inlineStr">
        <is>
          <t>Bar</t>
        </is>
      </c>
      <c r="K286" s="19" t="inlineStr">
        <is>
          <t>YOKOGAWA</t>
        </is>
      </c>
      <c r="L286" s="19" t="inlineStr">
        <is>
          <t>EJA530E</t>
        </is>
      </c>
      <c r="M286" s="19" t="inlineStr">
        <is>
          <t>91S313231</t>
        </is>
      </c>
      <c r="N286" s="2">
        <f>IF(E286="","Waiting","Calibrated")</f>
        <v/>
      </c>
      <c r="O286" s="2" t="n"/>
      <c r="P286" s="2" t="inlineStr">
        <is>
          <t>ZM06</t>
        </is>
      </c>
      <c r="Q286" s="2" t="n"/>
      <c r="R286" s="28" t="n"/>
      <c r="S286" s="28" t="n"/>
      <c r="T286" s="32" t="n"/>
    </row>
    <row r="287" ht="30" customFormat="1" customHeight="1" s="5">
      <c r="A287" s="17" t="n">
        <v>285</v>
      </c>
      <c r="B287" s="17" t="inlineStr">
        <is>
          <t>KIPP12</t>
        </is>
      </c>
      <c r="C287" s="2" t="inlineStr">
        <is>
          <t>12LBA50CF002</t>
        </is>
      </c>
      <c r="D287" s="14" t="inlineStr">
        <is>
          <t>HP STEAM O/L FT 1</t>
        </is>
      </c>
      <c r="E287" s="37" t="n"/>
      <c r="F287" s="103" t="n">
        <v>-2468</v>
      </c>
      <c r="G287" s="103" t="n">
        <v>2468</v>
      </c>
      <c r="H287" s="103" t="n">
        <v>0</v>
      </c>
      <c r="I287" s="103" t="n">
        <v>1600</v>
      </c>
      <c r="J287" s="4" t="inlineStr">
        <is>
          <t>mBar</t>
        </is>
      </c>
      <c r="K287" s="19" t="inlineStr">
        <is>
          <t>ROSEMOUNT</t>
        </is>
      </c>
      <c r="L287" s="19" t="inlineStr">
        <is>
          <t>2051 PT</t>
        </is>
      </c>
      <c r="M287" s="19" t="n">
        <v>214476</v>
      </c>
      <c r="N287" s="2">
        <f>IF(E287="","Waiting","Calibrated")</f>
        <v/>
      </c>
      <c r="O287" s="2" t="n"/>
      <c r="P287" s="2" t="inlineStr">
        <is>
          <t>ZM06</t>
        </is>
      </c>
      <c r="Q287" s="2" t="n"/>
      <c r="R287" s="28" t="n"/>
      <c r="S287" s="28" t="inlineStr">
        <is>
          <t>12LBC00GH101</t>
        </is>
      </c>
      <c r="T287" s="32" t="n"/>
    </row>
    <row r="288" ht="30" customFormat="1" customHeight="1" s="5">
      <c r="A288" s="17" t="n">
        <v>286</v>
      </c>
      <c r="B288" s="17" t="inlineStr">
        <is>
          <t>KIPP12</t>
        </is>
      </c>
      <c r="C288" s="2" t="inlineStr">
        <is>
          <t>12LBA50CF003</t>
        </is>
      </c>
      <c r="D288" s="14" t="inlineStr">
        <is>
          <t>HP STEAM O/L FT 2</t>
        </is>
      </c>
      <c r="E288" s="37" t="n"/>
      <c r="F288" s="103" t="n">
        <v>-2468</v>
      </c>
      <c r="G288" s="103" t="n">
        <v>2468</v>
      </c>
      <c r="H288" s="103" t="n">
        <v>0</v>
      </c>
      <c r="I288" s="103" t="n">
        <v>1600</v>
      </c>
      <c r="J288" s="4" t="inlineStr">
        <is>
          <t>mBar</t>
        </is>
      </c>
      <c r="K288" s="19" t="inlineStr">
        <is>
          <t>ROSEMOUNT</t>
        </is>
      </c>
      <c r="L288" s="19" t="inlineStr">
        <is>
          <t>2051 PT</t>
        </is>
      </c>
      <c r="M288" s="19" t="n">
        <v>214477</v>
      </c>
      <c r="N288" s="2">
        <f>IF(E288="","Waiting","Calibrated")</f>
        <v/>
      </c>
      <c r="O288" s="2" t="n"/>
      <c r="P288" s="2" t="inlineStr">
        <is>
          <t>ZM06</t>
        </is>
      </c>
      <c r="Q288" s="2" t="n"/>
      <c r="R288" s="28" t="n"/>
      <c r="S288" s="28" t="inlineStr">
        <is>
          <t>12LBC00GH101</t>
        </is>
      </c>
      <c r="T288" s="32" t="n"/>
    </row>
    <row r="289" ht="30" customFormat="1" customHeight="1" s="5">
      <c r="A289" s="17" t="n">
        <v>287</v>
      </c>
      <c r="B289" s="17" t="inlineStr">
        <is>
          <t>KIPP12</t>
        </is>
      </c>
      <c r="C289" s="2" t="inlineStr">
        <is>
          <t>12LBA50CP001</t>
        </is>
      </c>
      <c r="D289" s="14" t="inlineStr">
        <is>
          <t>HP STEAM PT</t>
        </is>
      </c>
      <c r="E289" s="37" t="n"/>
      <c r="F289" s="103" t="n">
        <v>0</v>
      </c>
      <c r="G289" s="103" t="n">
        <v>689.5</v>
      </c>
      <c r="H289" s="103" t="n">
        <v>0</v>
      </c>
      <c r="I289" s="103" t="n">
        <v>200</v>
      </c>
      <c r="J289" s="4" t="inlineStr">
        <is>
          <t>Bar</t>
        </is>
      </c>
      <c r="K289" s="19" t="inlineStr">
        <is>
          <t>ROSEMOUNT</t>
        </is>
      </c>
      <c r="L289" s="19" t="inlineStr">
        <is>
          <t>2051 PT</t>
        </is>
      </c>
      <c r="M289" s="20" t="n">
        <v>210443</v>
      </c>
      <c r="N289" s="2">
        <f>IF(E289="","Waiting","Calibrated")</f>
        <v/>
      </c>
      <c r="O289" s="2" t="n"/>
      <c r="P289" s="2" t="inlineStr">
        <is>
          <t>ZM06</t>
        </is>
      </c>
      <c r="Q289" s="2" t="n"/>
      <c r="R289" s="28" t="n"/>
      <c r="S289" s="28" t="n"/>
      <c r="T289" s="32" t="n"/>
    </row>
    <row r="290" ht="30" customFormat="1" customHeight="1" s="5">
      <c r="A290" s="17" t="n">
        <v>288</v>
      </c>
      <c r="B290" s="17" t="inlineStr">
        <is>
          <t>KIPP12</t>
        </is>
      </c>
      <c r="C290" s="2" t="inlineStr">
        <is>
          <t>12LBB00CP101</t>
        </is>
      </c>
      <c r="D290" s="14" t="inlineStr">
        <is>
          <t>HOT REHEAT STEAM PT</t>
        </is>
      </c>
      <c r="E290" s="37" t="n">
        <v>46098</v>
      </c>
      <c r="F290" s="103" t="n">
        <v>-1</v>
      </c>
      <c r="G290" s="103" t="n">
        <v>500</v>
      </c>
      <c r="H290" s="103" t="n">
        <v>0</v>
      </c>
      <c r="I290" s="103" t="n">
        <v>50</v>
      </c>
      <c r="J290" s="4" t="inlineStr">
        <is>
          <t>Bar</t>
        </is>
      </c>
      <c r="K290" s="19" t="inlineStr">
        <is>
          <t>YOKOGAWA</t>
        </is>
      </c>
      <c r="L290" s="19" t="inlineStr">
        <is>
          <t>EJA530E</t>
        </is>
      </c>
      <c r="M290" s="19" t="inlineStr">
        <is>
          <t>91S313215</t>
        </is>
      </c>
      <c r="N290" s="2">
        <f>IF(E290="","Waiting","Calibrated")</f>
        <v/>
      </c>
      <c r="O290" s="2" t="n"/>
      <c r="P290" s="2" t="inlineStr">
        <is>
          <t>ZM06</t>
        </is>
      </c>
      <c r="Q290" s="2" t="n"/>
      <c r="R290" s="28" t="n"/>
      <c r="S290" s="28" t="n"/>
      <c r="T290" s="32" t="n"/>
    </row>
    <row r="291" ht="30" customFormat="1" customHeight="1" s="5">
      <c r="A291" s="17" t="n">
        <v>289</v>
      </c>
      <c r="B291" s="17" t="inlineStr">
        <is>
          <t>KIPP12</t>
        </is>
      </c>
      <c r="C291" s="2" t="inlineStr">
        <is>
          <t>12LBB20CP101</t>
        </is>
      </c>
      <c r="D291" s="14" t="inlineStr">
        <is>
          <t>HOT REHEAT STEAM BYPASS VALVE OUTLET PT</t>
        </is>
      </c>
      <c r="E291" s="37" t="n">
        <v>46104</v>
      </c>
      <c r="F291" s="103" t="n">
        <v>-1</v>
      </c>
      <c r="G291" s="103" t="n">
        <v>20</v>
      </c>
      <c r="H291" s="103" t="n">
        <v>0</v>
      </c>
      <c r="I291" s="103" t="n">
        <v>13</v>
      </c>
      <c r="J291" s="4" t="inlineStr">
        <is>
          <t>Bar</t>
        </is>
      </c>
      <c r="K291" s="19" t="inlineStr">
        <is>
          <t>YOKOGAWA</t>
        </is>
      </c>
      <c r="L291" s="19" t="inlineStr">
        <is>
          <t>EJA530E</t>
        </is>
      </c>
      <c r="M291" s="19" t="inlineStr">
        <is>
          <t>91S313224</t>
        </is>
      </c>
      <c r="N291" s="2">
        <f>IF(E291="","Waiting","Calibrated")</f>
        <v/>
      </c>
      <c r="O291" s="2" t="n"/>
      <c r="P291" s="2" t="inlineStr">
        <is>
          <t>ZM06</t>
        </is>
      </c>
      <c r="Q291" s="2" t="n"/>
      <c r="R291" s="28" t="n"/>
      <c r="S291" s="28" t="n"/>
      <c r="T291" s="32" t="n"/>
    </row>
    <row r="292" ht="30" customFormat="1" customHeight="1" s="5">
      <c r="A292" s="17" t="n">
        <v>290</v>
      </c>
      <c r="B292" s="17" t="inlineStr">
        <is>
          <t>KIPP12</t>
        </is>
      </c>
      <c r="C292" s="2" t="inlineStr">
        <is>
          <t>12LBB20CP102</t>
        </is>
      </c>
      <c r="D292" s="14" t="inlineStr">
        <is>
          <t>HOT REHEAT STEAM BYPASS VALVE OUTLET PT</t>
        </is>
      </c>
      <c r="E292" s="37" t="n">
        <v>46104</v>
      </c>
      <c r="F292" s="103" t="n">
        <v>-1</v>
      </c>
      <c r="G292" s="103" t="n">
        <v>20</v>
      </c>
      <c r="H292" s="103" t="n">
        <v>0</v>
      </c>
      <c r="I292" s="103" t="n">
        <v>13</v>
      </c>
      <c r="J292" s="4" t="inlineStr">
        <is>
          <t>Bar</t>
        </is>
      </c>
      <c r="K292" s="19" t="inlineStr">
        <is>
          <t>YOKOGAWA</t>
        </is>
      </c>
      <c r="L292" s="19" t="inlineStr">
        <is>
          <t>EJA530E</t>
        </is>
      </c>
      <c r="M292" s="19" t="inlineStr">
        <is>
          <t>91S313225</t>
        </is>
      </c>
      <c r="N292" s="2">
        <f>IF(E292="","Waiting","Calibrated")</f>
        <v/>
      </c>
      <c r="O292" s="2" t="n"/>
      <c r="P292" s="2" t="inlineStr">
        <is>
          <t>ZM06</t>
        </is>
      </c>
      <c r="Q292" s="2" t="n"/>
      <c r="R292" s="28" t="n"/>
      <c r="S292" s="28" t="n"/>
      <c r="T292" s="32" t="n"/>
    </row>
    <row r="293" ht="30" customFormat="1" customHeight="1" s="5">
      <c r="A293" s="17" t="n">
        <v>291</v>
      </c>
      <c r="B293" s="17" t="inlineStr">
        <is>
          <t>KIPP12</t>
        </is>
      </c>
      <c r="C293" s="2" t="inlineStr">
        <is>
          <t>12LBB40CP001</t>
        </is>
      </c>
      <c r="D293" s="14" t="inlineStr">
        <is>
          <t>RH STEAM PT</t>
        </is>
      </c>
      <c r="E293" s="37" t="n"/>
      <c r="F293" s="103" t="n">
        <v>-1.01</v>
      </c>
      <c r="G293" s="103" t="n">
        <v>275.79</v>
      </c>
      <c r="H293" s="103" t="n">
        <v>0</v>
      </c>
      <c r="I293" s="103" t="n">
        <v>50</v>
      </c>
      <c r="J293" s="4" t="inlineStr">
        <is>
          <t>Bar</t>
        </is>
      </c>
      <c r="K293" s="19" t="inlineStr">
        <is>
          <t>ROSEMOUNT</t>
        </is>
      </c>
      <c r="L293" s="19" t="inlineStr">
        <is>
          <t>2051 PT</t>
        </is>
      </c>
      <c r="M293" s="20" t="n">
        <v>210450</v>
      </c>
      <c r="N293" s="2">
        <f>IF(E293="","Waiting","Calibrated")</f>
        <v/>
      </c>
      <c r="O293" s="2" t="n"/>
      <c r="P293" s="2" t="inlineStr">
        <is>
          <t>ZM06</t>
        </is>
      </c>
      <c r="Q293" s="2" t="n"/>
      <c r="R293" s="28" t="n"/>
      <c r="S293" s="28" t="inlineStr">
        <is>
          <t>12LBA30GH101</t>
        </is>
      </c>
      <c r="T293" s="32" t="n"/>
    </row>
    <row r="294" ht="30" customFormat="1" customHeight="1" s="5">
      <c r="A294" s="17" t="n">
        <v>292</v>
      </c>
      <c r="B294" s="17" t="inlineStr">
        <is>
          <t>KIPP12</t>
        </is>
      </c>
      <c r="C294" s="2" t="inlineStr">
        <is>
          <t>12LBC00CF101</t>
        </is>
      </c>
      <c r="D294" s="14" t="inlineStr">
        <is>
          <t>COLD REHEAT STEAM FLOW A</t>
        </is>
      </c>
      <c r="E294" s="37" t="n"/>
      <c r="F294" s="103" t="n">
        <v>-10197.2</v>
      </c>
      <c r="G294" s="103" t="n">
        <v>10197.2</v>
      </c>
      <c r="H294" s="103" t="n">
        <v>0</v>
      </c>
      <c r="I294" s="103" t="n">
        <v>2312</v>
      </c>
      <c r="J294" s="4" t="inlineStr">
        <is>
          <t>mmH2O</t>
        </is>
      </c>
      <c r="K294" s="19" t="inlineStr">
        <is>
          <t>YOKOGAWA</t>
        </is>
      </c>
      <c r="L294" s="19" t="inlineStr">
        <is>
          <t>EJA110E</t>
        </is>
      </c>
      <c r="M294" s="19" t="inlineStr">
        <is>
          <t>91S313073</t>
        </is>
      </c>
      <c r="N294" s="2">
        <f>IF(E294="","Waiting","Calibrated")</f>
        <v/>
      </c>
      <c r="O294" s="2" t="n"/>
      <c r="P294" s="2" t="inlineStr">
        <is>
          <t>ZM06</t>
        </is>
      </c>
      <c r="Q294" s="2" t="n"/>
      <c r="R294" s="28" t="n"/>
      <c r="S294" s="28" t="inlineStr">
        <is>
          <t>12LBC00GH101</t>
        </is>
      </c>
      <c r="T294" s="32" t="n"/>
    </row>
    <row r="295" ht="30" customFormat="1" customHeight="1" s="5">
      <c r="A295" s="17" t="n">
        <v>293</v>
      </c>
      <c r="B295" s="17" t="inlineStr">
        <is>
          <t>KIPP12</t>
        </is>
      </c>
      <c r="C295" s="2" t="inlineStr">
        <is>
          <t>12LBC00CF102</t>
        </is>
      </c>
      <c r="D295" s="14" t="inlineStr">
        <is>
          <t>COLD REHEAT STEAM FLOW B</t>
        </is>
      </c>
      <c r="E295" s="37" t="n"/>
      <c r="F295" s="103" t="n">
        <v>-10197.2</v>
      </c>
      <c r="G295" s="103" t="n">
        <v>10197.2</v>
      </c>
      <c r="H295" s="103" t="n">
        <v>0</v>
      </c>
      <c r="I295" s="103" t="n">
        <v>2312</v>
      </c>
      <c r="J295" s="4" t="inlineStr">
        <is>
          <t>mmH2O</t>
        </is>
      </c>
      <c r="K295" s="19" t="inlineStr">
        <is>
          <t>YOKOGAWA</t>
        </is>
      </c>
      <c r="L295" s="19" t="inlineStr">
        <is>
          <t>EJA110E</t>
        </is>
      </c>
      <c r="M295" s="19" t="inlineStr">
        <is>
          <t>91S313074</t>
        </is>
      </c>
      <c r="N295" s="2">
        <f>IF(E295="","Waiting","Calibrated")</f>
        <v/>
      </c>
      <c r="O295" s="2" t="n"/>
      <c r="P295" s="2" t="inlineStr">
        <is>
          <t>ZM06</t>
        </is>
      </c>
      <c r="Q295" s="2" t="n"/>
      <c r="R295" s="28" t="n"/>
      <c r="S295" s="28" t="inlineStr">
        <is>
          <t>12LBC00GH101</t>
        </is>
      </c>
      <c r="T295" s="32" t="n"/>
    </row>
    <row r="296" ht="30" customFormat="1" customHeight="1" s="5">
      <c r="A296" s="17" t="n">
        <v>294</v>
      </c>
      <c r="B296" s="17" t="inlineStr">
        <is>
          <t>KIPP12</t>
        </is>
      </c>
      <c r="C296" s="2" t="inlineStr">
        <is>
          <t>12LBC00CP101</t>
        </is>
      </c>
      <c r="D296" s="14" t="inlineStr">
        <is>
          <t>COLD REHEAT STEAM PRESSURE</t>
        </is>
      </c>
      <c r="E296" s="37" t="n"/>
      <c r="F296" s="103" t="n">
        <v>-1</v>
      </c>
      <c r="G296" s="103" t="n">
        <v>100</v>
      </c>
      <c r="H296" s="103" t="n">
        <v>0</v>
      </c>
      <c r="I296" s="103" t="n">
        <v>43</v>
      </c>
      <c r="J296" s="4" t="inlineStr">
        <is>
          <t>Bar</t>
        </is>
      </c>
      <c r="K296" s="19" t="inlineStr">
        <is>
          <t>YOKOGAWA</t>
        </is>
      </c>
      <c r="L296" s="19" t="inlineStr">
        <is>
          <t>EJA530E</t>
        </is>
      </c>
      <c r="M296" s="19" t="inlineStr">
        <is>
          <t>91S213288</t>
        </is>
      </c>
      <c r="N296" s="2">
        <f>IF(E296="","Waiting","Calibrated")</f>
        <v/>
      </c>
      <c r="O296" s="2" t="n"/>
      <c r="P296" s="2" t="inlineStr">
        <is>
          <t>ZM06</t>
        </is>
      </c>
      <c r="Q296" s="2" t="n"/>
      <c r="R296" s="28" t="n"/>
      <c r="S296" s="28" t="inlineStr">
        <is>
          <t>12LBC00GH101</t>
        </is>
      </c>
      <c r="T296" s="32" t="n"/>
    </row>
    <row r="297" ht="30" customFormat="1" customHeight="1" s="5">
      <c r="A297" s="17" t="n">
        <v>295</v>
      </c>
      <c r="B297" s="17" t="inlineStr">
        <is>
          <t>KIPP12</t>
        </is>
      </c>
      <c r="C297" s="2" t="inlineStr">
        <is>
          <t>12LBC30CP001</t>
        </is>
      </c>
      <c r="D297" s="14" t="inlineStr">
        <is>
          <t>COLD REHEAT PRESSURE</t>
        </is>
      </c>
      <c r="E297" s="37" t="n"/>
      <c r="F297" s="103" t="n">
        <v>-1.01</v>
      </c>
      <c r="G297" s="103" t="n">
        <v>275.79</v>
      </c>
      <c r="H297" s="103" t="n">
        <v>0</v>
      </c>
      <c r="I297" s="103" t="n">
        <v>60</v>
      </c>
      <c r="J297" s="4" t="inlineStr">
        <is>
          <t>Bar</t>
        </is>
      </c>
      <c r="K297" s="19" t="inlineStr">
        <is>
          <t>ROSEMOUNT</t>
        </is>
      </c>
      <c r="L297" s="19" t="inlineStr">
        <is>
          <t>2051 PT</t>
        </is>
      </c>
      <c r="M297" s="20" t="n">
        <v>210451</v>
      </c>
      <c r="N297" s="2">
        <f>IF(E297="","Waiting","Calibrated")</f>
        <v/>
      </c>
      <c r="O297" s="2" t="n"/>
      <c r="P297" s="2" t="inlineStr">
        <is>
          <t>ZM06</t>
        </is>
      </c>
      <c r="Q297" s="2" t="n"/>
      <c r="R297" s="28" t="n"/>
      <c r="S297" s="28" t="inlineStr">
        <is>
          <t>12HAC58GH101</t>
        </is>
      </c>
      <c r="T297" s="32" t="n"/>
    </row>
    <row r="298" ht="30" customFormat="1" customHeight="1" s="5">
      <c r="A298" s="17" t="n">
        <v>296</v>
      </c>
      <c r="B298" s="17" t="inlineStr">
        <is>
          <t>KIPP12</t>
        </is>
      </c>
      <c r="C298" s="2" t="inlineStr">
        <is>
          <t>12LBG91CP001</t>
        </is>
      </c>
      <c r="D298" s="14" t="inlineStr">
        <is>
          <t>GT OTC OUT STEAM LINE PT-1</t>
        </is>
      </c>
      <c r="E298" s="37" t="n"/>
      <c r="F298" s="103" t="n">
        <v>-1</v>
      </c>
      <c r="G298" s="103" t="n">
        <v>500</v>
      </c>
      <c r="H298" s="103" t="n">
        <v>0</v>
      </c>
      <c r="I298" s="103" t="n">
        <v>192</v>
      </c>
      <c r="J298" s="4" t="inlineStr">
        <is>
          <t>Bar</t>
        </is>
      </c>
      <c r="K298" s="19" t="inlineStr">
        <is>
          <t>YOKOGAWA</t>
        </is>
      </c>
      <c r="L298" s="19" t="inlineStr">
        <is>
          <t>EJA530E</t>
        </is>
      </c>
      <c r="M298" s="19" t="inlineStr">
        <is>
          <t>91S213325</t>
        </is>
      </c>
      <c r="N298" s="2">
        <f>IF(E298="","Waiting","Calibrated")</f>
        <v/>
      </c>
      <c r="O298" s="2" t="n"/>
      <c r="P298" s="2" t="inlineStr">
        <is>
          <t>ZM06</t>
        </is>
      </c>
      <c r="Q298" s="2" t="n"/>
      <c r="R298" s="28" t="n"/>
      <c r="S298" s="28" t="n"/>
      <c r="T298" s="32" t="n"/>
    </row>
    <row r="299" ht="30" customFormat="1" customHeight="1" s="5">
      <c r="A299" s="17" t="n">
        <v>297</v>
      </c>
      <c r="B299" s="17" t="inlineStr">
        <is>
          <t>KIPP12</t>
        </is>
      </c>
      <c r="C299" s="2" t="inlineStr">
        <is>
          <t>12LBG91CP002</t>
        </is>
      </c>
      <c r="D299" s="14" t="inlineStr">
        <is>
          <t>GT OTC OUT STEAM LINE PT-1</t>
        </is>
      </c>
      <c r="E299" s="37" t="n"/>
      <c r="F299" s="103" t="n">
        <v>-1</v>
      </c>
      <c r="G299" s="103" t="n">
        <v>500</v>
      </c>
      <c r="H299" s="103" t="n">
        <v>0</v>
      </c>
      <c r="I299" s="103" t="n">
        <v>192</v>
      </c>
      <c r="J299" s="4" t="inlineStr">
        <is>
          <t>Bar</t>
        </is>
      </c>
      <c r="K299" s="19" t="inlineStr">
        <is>
          <t>YOKOGAWA</t>
        </is>
      </c>
      <c r="L299" s="19" t="inlineStr">
        <is>
          <t>EJA530E</t>
        </is>
      </c>
      <c r="M299" s="19" t="inlineStr">
        <is>
          <t>91S213327</t>
        </is>
      </c>
      <c r="N299" s="2">
        <f>IF(E299="","Waiting","Calibrated")</f>
        <v/>
      </c>
      <c r="O299" s="2" t="n"/>
      <c r="P299" s="2" t="inlineStr">
        <is>
          <t>ZM06</t>
        </is>
      </c>
      <c r="Q299" s="2" t="n"/>
      <c r="R299" s="28" t="n"/>
      <c r="S299" s="28" t="n"/>
      <c r="T299" s="32" t="n"/>
    </row>
    <row r="300" ht="30" customFormat="1" customHeight="1" s="5">
      <c r="A300" s="17" t="n">
        <v>298</v>
      </c>
      <c r="B300" s="17" t="inlineStr">
        <is>
          <t>KIPP12</t>
        </is>
      </c>
      <c r="C300" s="2" t="inlineStr">
        <is>
          <t>12LCA20CF101</t>
        </is>
      </c>
      <c r="D300" s="14" t="inlineStr">
        <is>
          <t>LP STEAM BYPASS SPRAYAY WATER FT</t>
        </is>
      </c>
      <c r="E300" s="37" t="n">
        <v>46097</v>
      </c>
      <c r="F300" s="103" t="n">
        <v>-10197.2</v>
      </c>
      <c r="G300" s="103" t="n">
        <v>10197.2</v>
      </c>
      <c r="H300" s="103" t="n">
        <v>0</v>
      </c>
      <c r="I300" s="103" t="n">
        <v>5000</v>
      </c>
      <c r="J300" s="4" t="inlineStr">
        <is>
          <t>mmH2O</t>
        </is>
      </c>
      <c r="K300" s="19" t="inlineStr">
        <is>
          <t>YOKOGAWA</t>
        </is>
      </c>
      <c r="L300" s="19" t="inlineStr">
        <is>
          <t>EJA110E</t>
        </is>
      </c>
      <c r="M300" s="19" t="inlineStr">
        <is>
          <t>91S313063</t>
        </is>
      </c>
      <c r="N300" s="2">
        <f>IF(E300="","Waiting","Calibrated")</f>
        <v/>
      </c>
      <c r="O300" s="2" t="n"/>
      <c r="P300" s="2" t="inlineStr">
        <is>
          <t>ZM06</t>
        </is>
      </c>
      <c r="Q300" s="2" t="n"/>
      <c r="R300" s="28" t="n"/>
      <c r="S300" s="28" t="n"/>
      <c r="T300" s="32" t="n"/>
    </row>
    <row r="301" ht="30" customFormat="1" customHeight="1" s="5">
      <c r="A301" s="17" t="n">
        <v>299</v>
      </c>
      <c r="B301" s="17" t="inlineStr">
        <is>
          <t>KIPP12</t>
        </is>
      </c>
      <c r="C301" s="2" t="inlineStr">
        <is>
          <t>12LCA21CF101</t>
        </is>
      </c>
      <c r="D301" s="14" t="inlineStr">
        <is>
          <t>HOT REHEAT STEAM BYPASS SPRAYAY WATER FT</t>
        </is>
      </c>
      <c r="E301" s="37" t="n">
        <v>46097</v>
      </c>
      <c r="F301" s="103" t="n">
        <v>-10197.2</v>
      </c>
      <c r="G301" s="103" t="n">
        <v>10197.2</v>
      </c>
      <c r="H301" s="103" t="n">
        <v>0</v>
      </c>
      <c r="I301" s="103" t="n">
        <v>5000</v>
      </c>
      <c r="J301" s="4" t="inlineStr">
        <is>
          <t>mmH2O</t>
        </is>
      </c>
      <c r="K301" s="19" t="inlineStr">
        <is>
          <t>YOKOGAWA</t>
        </is>
      </c>
      <c r="L301" s="19" t="inlineStr">
        <is>
          <t>EJA110E</t>
        </is>
      </c>
      <c r="M301" s="19" t="inlineStr">
        <is>
          <t>91S313061</t>
        </is>
      </c>
      <c r="N301" s="2">
        <f>IF(E301="","Waiting","Calibrated")</f>
        <v/>
      </c>
      <c r="O301" s="2" t="n"/>
      <c r="P301" s="2" t="inlineStr">
        <is>
          <t>ZM06</t>
        </is>
      </c>
      <c r="Q301" s="2" t="n"/>
      <c r="R301" s="28" t="n"/>
      <c r="S301" s="28" t="n"/>
      <c r="T301" s="32" t="n"/>
    </row>
    <row r="302" ht="30" customFormat="1" customHeight="1" s="5">
      <c r="A302" s="17" t="n">
        <v>300</v>
      </c>
      <c r="B302" s="17" t="inlineStr">
        <is>
          <t>KIPP12</t>
        </is>
      </c>
      <c r="C302" s="2" t="inlineStr">
        <is>
          <t>12MBA30CP001</t>
        </is>
      </c>
      <c r="D302" s="14" t="inlineStr">
        <is>
          <t>PRESSURE MEASUREMENT EXHAUST DIFFUSER</t>
        </is>
      </c>
      <c r="E302" s="37" t="n"/>
      <c r="F302" s="103" t="n">
        <v>0</v>
      </c>
      <c r="G302" s="103" t="n">
        <v>2.0684</v>
      </c>
      <c r="H302" s="103" t="n">
        <v>0.8</v>
      </c>
      <c r="I302" s="103" t="n">
        <v>1.2</v>
      </c>
      <c r="J302" s="4" t="inlineStr">
        <is>
          <t>Bar</t>
        </is>
      </c>
      <c r="K302" s="19" t="inlineStr">
        <is>
          <t>ROSEMOUNT</t>
        </is>
      </c>
      <c r="L302" s="19" t="inlineStr">
        <is>
          <t>3051 PT</t>
        </is>
      </c>
      <c r="M302" s="19" t="n">
        <v>9824808</v>
      </c>
      <c r="N302" s="2">
        <f>IF(E302="","Waiting","Calibrated")</f>
        <v/>
      </c>
      <c r="O302" s="2" t="n"/>
      <c r="P302" s="2" t="inlineStr">
        <is>
          <t>ZM06</t>
        </is>
      </c>
      <c r="Q302" s="2" t="n"/>
      <c r="R302" s="28" t="n"/>
      <c r="S302" s="28" t="n"/>
      <c r="T302" s="32" t="n"/>
    </row>
    <row r="303" ht="30" customFormat="1" customHeight="1" s="5">
      <c r="A303" s="17" t="n">
        <v>301</v>
      </c>
      <c r="B303" s="17" t="inlineStr">
        <is>
          <t>KIPP12</t>
        </is>
      </c>
      <c r="C303" s="2" t="inlineStr">
        <is>
          <t>12MBA30CP003</t>
        </is>
      </c>
      <c r="D303" s="14" t="inlineStr">
        <is>
          <t>PRESSURE MEASUREMENT EXHAUST DIFFUSER</t>
        </is>
      </c>
      <c r="E303" s="37" t="n"/>
      <c r="F303" s="103" t="n">
        <v>0</v>
      </c>
      <c r="G303" s="103" t="n">
        <v>2.0684</v>
      </c>
      <c r="H303" s="103" t="n">
        <v>0.8</v>
      </c>
      <c r="I303" s="103" t="n">
        <v>1.2</v>
      </c>
      <c r="J303" s="4" t="inlineStr">
        <is>
          <t>Bar</t>
        </is>
      </c>
      <c r="K303" s="19" t="inlineStr">
        <is>
          <t>ROSEMOUNT</t>
        </is>
      </c>
      <c r="L303" s="19" t="inlineStr">
        <is>
          <t>3051 PT</t>
        </is>
      </c>
      <c r="M303" s="19" t="n">
        <v>9824809</v>
      </c>
      <c r="N303" s="2">
        <f>IF(E303="","Waiting","Calibrated")</f>
        <v/>
      </c>
      <c r="O303" s="2" t="n"/>
      <c r="P303" s="2" t="inlineStr">
        <is>
          <t>ZM06</t>
        </is>
      </c>
      <c r="Q303" s="2" t="n"/>
      <c r="R303" s="28" t="n"/>
      <c r="S303" s="28" t="n"/>
      <c r="T303" s="32" t="n"/>
    </row>
    <row r="304" ht="30" customFormat="1" customHeight="1" s="5">
      <c r="A304" s="17" t="n">
        <v>302</v>
      </c>
      <c r="B304" s="17" t="inlineStr">
        <is>
          <t>KIPP12</t>
        </is>
      </c>
      <c r="C304" s="2" t="inlineStr">
        <is>
          <t>12MBA30CP004</t>
        </is>
      </c>
      <c r="D304" s="14" t="inlineStr">
        <is>
          <t>PRESSURE MEASUREMENT EXHAUST DIFFUSER</t>
        </is>
      </c>
      <c r="E304" s="37" t="n"/>
      <c r="F304" s="103" t="n">
        <v>0</v>
      </c>
      <c r="G304" s="103" t="n">
        <v>2.0684</v>
      </c>
      <c r="H304" s="103" t="n">
        <v>0.8</v>
      </c>
      <c r="I304" s="103" t="n">
        <v>1.2</v>
      </c>
      <c r="J304" s="4" t="inlineStr">
        <is>
          <t>Bar</t>
        </is>
      </c>
      <c r="K304" s="19" t="inlineStr">
        <is>
          <t>ROSEMOUNT</t>
        </is>
      </c>
      <c r="L304" s="19" t="inlineStr">
        <is>
          <t>3051 PT</t>
        </is>
      </c>
      <c r="M304" s="19" t="n">
        <v>9824810</v>
      </c>
      <c r="N304" s="2">
        <f>IF(E304="","Waiting","Calibrated")</f>
        <v/>
      </c>
      <c r="O304" s="2" t="n"/>
      <c r="P304" s="2" t="inlineStr">
        <is>
          <t>ZM06</t>
        </is>
      </c>
      <c r="Q304" s="2" t="n"/>
      <c r="R304" s="28" t="n"/>
      <c r="S304" s="28" t="n"/>
      <c r="T304" s="32" t="n"/>
    </row>
    <row r="305" ht="30" customFormat="1" customHeight="1" s="5">
      <c r="A305" s="17" t="n">
        <v>303</v>
      </c>
      <c r="B305" s="17" t="inlineStr">
        <is>
          <t>KIPP12</t>
        </is>
      </c>
      <c r="C305" s="2" t="inlineStr">
        <is>
          <t>12MBA80CP051</t>
        </is>
      </c>
      <c r="D305" s="14" t="inlineStr">
        <is>
          <t>GT AFT COMPRESSOR 1H PT</t>
        </is>
      </c>
      <c r="E305" s="37" t="n"/>
      <c r="F305" s="103" t="n">
        <v>-137.89</v>
      </c>
      <c r="G305" s="103" t="n">
        <v>137.89</v>
      </c>
      <c r="H305" s="103" t="n">
        <v>0</v>
      </c>
      <c r="I305" s="103" t="n">
        <v>40</v>
      </c>
      <c r="J305" s="4" t="inlineStr">
        <is>
          <t>Bar</t>
        </is>
      </c>
      <c r="K305" s="19" t="inlineStr">
        <is>
          <t>ROSEMOUNT</t>
        </is>
      </c>
      <c r="L305" s="19" t="inlineStr">
        <is>
          <t>3051CG</t>
        </is>
      </c>
      <c r="M305" s="20" t="n">
        <v>9825265</v>
      </c>
      <c r="N305" s="2">
        <f>IF(E305="","Waiting","Calibrated")</f>
        <v/>
      </c>
      <c r="O305" s="2" t="n"/>
      <c r="P305" s="2" t="inlineStr">
        <is>
          <t>ZM06</t>
        </is>
      </c>
      <c r="Q305" s="2" t="n"/>
      <c r="R305" s="28" t="inlineStr">
        <is>
          <t>3051CG5A22A1BE8Q4CTA9258</t>
        </is>
      </c>
      <c r="S305" s="28" t="n"/>
      <c r="T305" s="32" t="n"/>
    </row>
    <row r="306" ht="30" customFormat="1" customHeight="1" s="5">
      <c r="A306" s="17" t="n">
        <v>304</v>
      </c>
      <c r="B306" s="17" t="inlineStr">
        <is>
          <t>KIPP12</t>
        </is>
      </c>
      <c r="C306" s="2" t="inlineStr">
        <is>
          <t>12MBA80CP052</t>
        </is>
      </c>
      <c r="D306" s="14" t="inlineStr">
        <is>
          <t>GT AFT COMPRESSOR 4H PT</t>
        </is>
      </c>
      <c r="E306" s="37" t="n"/>
      <c r="F306" s="103" t="n">
        <v>-137.89</v>
      </c>
      <c r="G306" s="103" t="n">
        <v>137.89</v>
      </c>
      <c r="H306" s="103" t="n">
        <v>0</v>
      </c>
      <c r="I306" s="103" t="n">
        <v>40</v>
      </c>
      <c r="J306" s="4" t="inlineStr">
        <is>
          <t>Bar</t>
        </is>
      </c>
      <c r="K306" s="19" t="inlineStr">
        <is>
          <t>ROSEMOUNT</t>
        </is>
      </c>
      <c r="L306" s="19" t="inlineStr">
        <is>
          <t>3051CG</t>
        </is>
      </c>
      <c r="M306" s="20" t="n">
        <v>9825266</v>
      </c>
      <c r="N306" s="2">
        <f>IF(E306="","Waiting","Calibrated")</f>
        <v/>
      </c>
      <c r="O306" s="2" t="n"/>
      <c r="P306" s="2" t="inlineStr">
        <is>
          <t>ZM06</t>
        </is>
      </c>
      <c r="Q306" s="2" t="n"/>
      <c r="R306" s="28" t="inlineStr">
        <is>
          <t>3051CG5A22A1BE8Q4CTA9258</t>
        </is>
      </c>
      <c r="S306" s="28" t="n"/>
      <c r="T306" s="32" t="n"/>
    </row>
    <row r="307" ht="30" customFormat="1" customHeight="1" s="5">
      <c r="A307" s="17" t="n">
        <v>305</v>
      </c>
      <c r="B307" s="17" t="inlineStr">
        <is>
          <t>KIPP12</t>
        </is>
      </c>
      <c r="C307" s="2" t="inlineStr">
        <is>
          <t>12MBA80CP054</t>
        </is>
      </c>
      <c r="D307" s="14" t="inlineStr">
        <is>
          <t>P AFT COMPRESSOR 8H PT</t>
        </is>
      </c>
      <c r="E307" s="37" t="n"/>
      <c r="F307" s="103" t="n">
        <v>-137.89</v>
      </c>
      <c r="G307" s="103" t="n">
        <v>137.89</v>
      </c>
      <c r="H307" s="103" t="n">
        <v>0</v>
      </c>
      <c r="I307" s="103" t="n">
        <v>40</v>
      </c>
      <c r="J307" s="4" t="inlineStr">
        <is>
          <t>Bar</t>
        </is>
      </c>
      <c r="K307" s="19" t="inlineStr">
        <is>
          <t>ROSEMOUNT</t>
        </is>
      </c>
      <c r="L307" s="20" t="n">
        <v>3051</v>
      </c>
      <c r="M307" s="20" t="n">
        <v>9825267</v>
      </c>
      <c r="N307" s="2">
        <f>IF(E307="","Waiting","Calibrated")</f>
        <v/>
      </c>
      <c r="O307" s="2" t="n"/>
      <c r="P307" s="2" t="inlineStr">
        <is>
          <t>ZM06</t>
        </is>
      </c>
      <c r="Q307" s="2" t="n"/>
      <c r="R307" s="28" t="inlineStr">
        <is>
          <t>3051CG5A22A1BE8Q4CTA9258</t>
        </is>
      </c>
      <c r="S307" s="28" t="n"/>
      <c r="T307" s="32" t="n"/>
    </row>
    <row r="308" ht="30" customFormat="1" customHeight="1" s="5">
      <c r="A308" s="17" t="n">
        <v>306</v>
      </c>
      <c r="B308" s="17" t="inlineStr">
        <is>
          <t>KIPP12</t>
        </is>
      </c>
      <c r="C308" s="2" t="inlineStr">
        <is>
          <t>12MBE41CP013</t>
        </is>
      </c>
      <c r="D308" s="14" t="inlineStr">
        <is>
          <t>GT H/F WATER PUMP SUCTION FILTER PDT</t>
        </is>
      </c>
      <c r="E308" s="37" t="n"/>
      <c r="F308" s="103" t="n">
        <v>0</v>
      </c>
      <c r="G308" s="103" t="n">
        <v>0</v>
      </c>
      <c r="H308" s="103" t="n">
        <v>-1000</v>
      </c>
      <c r="I308" s="103" t="n">
        <v>2200</v>
      </c>
      <c r="J308" s="4" t="inlineStr">
        <is>
          <t>mBar</t>
        </is>
      </c>
      <c r="K308" s="19" t="inlineStr">
        <is>
          <t>ROSEMOUNT</t>
        </is>
      </c>
      <c r="L308" s="19" t="inlineStr">
        <is>
          <t>2088TG</t>
        </is>
      </c>
      <c r="M308" s="20" t="n">
        <v>2753519</v>
      </c>
      <c r="N308" s="2">
        <f>IF(E308="","Waiting","Calibrated")</f>
        <v/>
      </c>
      <c r="O308" s="2" t="n"/>
      <c r="P308" s="2" t="inlineStr">
        <is>
          <t>ZM06</t>
        </is>
      </c>
      <c r="Q308" s="2" t="n"/>
      <c r="R308" s="28" t="n"/>
      <c r="S308" s="28" t="n"/>
      <c r="T308" s="32" t="n"/>
    </row>
    <row r="309" ht="30" customFormat="1" customHeight="1" s="5">
      <c r="A309" s="17" t="n">
        <v>307</v>
      </c>
      <c r="B309" s="17" t="inlineStr">
        <is>
          <t>KIPP12</t>
        </is>
      </c>
      <c r="C309" s="2" t="inlineStr">
        <is>
          <t>12MBE41CP121</t>
        </is>
      </c>
      <c r="D309" s="14" t="inlineStr">
        <is>
          <t>GT H/F WATER PUMP-1 SUCTION PT</t>
        </is>
      </c>
      <c r="E309" s="37" t="n"/>
      <c r="F309" s="103" t="n">
        <v>-14.7</v>
      </c>
      <c r="G309" s="103" t="n">
        <v>800</v>
      </c>
      <c r="H309" s="103" t="n">
        <v>-14.7</v>
      </c>
      <c r="I309" s="103" t="n">
        <v>150</v>
      </c>
      <c r="J309" s="4" t="inlineStr">
        <is>
          <t>psi</t>
        </is>
      </c>
      <c r="K309" s="19" t="inlineStr">
        <is>
          <t>ROSEMOUNT</t>
        </is>
      </c>
      <c r="L309" s="19" t="inlineStr">
        <is>
          <t>2051TG</t>
        </is>
      </c>
      <c r="M309" s="20" t="n">
        <v>210447</v>
      </c>
      <c r="N309" s="2">
        <f>IF(E309="","Waiting","Calibrated")</f>
        <v/>
      </c>
      <c r="O309" s="2" t="n"/>
      <c r="P309" s="2" t="n"/>
      <c r="Q309" s="2" t="n"/>
      <c r="R309" s="28" t="n"/>
      <c r="S309" s="28" t="n"/>
      <c r="T309" s="32" t="n"/>
    </row>
    <row r="310" ht="30" customFormat="1" customHeight="1" s="5">
      <c r="A310" s="17" t="n">
        <v>308</v>
      </c>
      <c r="B310" s="17" t="inlineStr">
        <is>
          <t>KIPP12</t>
        </is>
      </c>
      <c r="C310" s="2" t="inlineStr">
        <is>
          <t>12MBE41CP122</t>
        </is>
      </c>
      <c r="D310" s="14" t="inlineStr">
        <is>
          <t>GT H/F WATER PUMP-2 SUCTION PT</t>
        </is>
      </c>
      <c r="E310" s="37" t="n"/>
      <c r="F310" s="103" t="n">
        <v>-14.7</v>
      </c>
      <c r="G310" s="103" t="n">
        <v>4000</v>
      </c>
      <c r="H310" s="103" t="n">
        <v>-14.7</v>
      </c>
      <c r="I310" s="103" t="n">
        <v>150</v>
      </c>
      <c r="J310" s="4" t="inlineStr">
        <is>
          <t>psi</t>
        </is>
      </c>
      <c r="K310" s="19" t="inlineStr">
        <is>
          <t>ROSEMOUNT</t>
        </is>
      </c>
      <c r="L310" s="19" t="inlineStr">
        <is>
          <t>2051TG</t>
        </is>
      </c>
      <c r="M310" s="20" t="n">
        <v>210453</v>
      </c>
      <c r="N310" s="2">
        <f>IF(E310="","Waiting","Calibrated")</f>
        <v/>
      </c>
      <c r="O310" s="2" t="n"/>
      <c r="P310" s="2" t="n"/>
      <c r="Q310" s="2" t="n"/>
      <c r="R310" s="28" t="n"/>
      <c r="S310" s="28" t="n"/>
      <c r="T310" s="32" t="n"/>
    </row>
    <row r="311" ht="30" customFormat="1" customHeight="1" s="5">
      <c r="A311" s="17" t="n">
        <v>309</v>
      </c>
      <c r="B311" s="17" t="inlineStr">
        <is>
          <t>KIPP12</t>
        </is>
      </c>
      <c r="C311" s="2" t="inlineStr">
        <is>
          <t>12MBE41CP123</t>
        </is>
      </c>
      <c r="D311" s="14" t="inlineStr">
        <is>
          <t>GT H/F WATER PUMP-3 SUCTION PT</t>
        </is>
      </c>
      <c r="E311" s="37" t="n"/>
      <c r="F311" s="103" t="n">
        <v>-14.7</v>
      </c>
      <c r="G311" s="103" t="n">
        <v>800</v>
      </c>
      <c r="H311" s="103" t="n">
        <v>-14.7</v>
      </c>
      <c r="I311" s="103" t="n">
        <v>150</v>
      </c>
      <c r="J311" s="4" t="inlineStr">
        <is>
          <t>psi</t>
        </is>
      </c>
      <c r="K311" s="19" t="inlineStr">
        <is>
          <t>ROSEMOUNT</t>
        </is>
      </c>
      <c r="L311" s="19" t="inlineStr">
        <is>
          <t>2051TG</t>
        </is>
      </c>
      <c r="M311" s="20" t="n">
        <v>10195290</v>
      </c>
      <c r="N311" s="2">
        <f>IF(E311="","Waiting","Calibrated")</f>
        <v/>
      </c>
      <c r="O311" s="2" t="n"/>
      <c r="P311" s="2" t="n"/>
      <c r="Q311" s="2" t="n"/>
      <c r="R311" s="28" t="n"/>
      <c r="S311" s="28" t="n"/>
      <c r="T311" s="32" t="n"/>
    </row>
    <row r="312" ht="30" customFormat="1" customHeight="1" s="5">
      <c r="A312" s="17" t="n">
        <v>310</v>
      </c>
      <c r="B312" s="17" t="inlineStr">
        <is>
          <t>KIPP12</t>
        </is>
      </c>
      <c r="C312" s="2" t="inlineStr">
        <is>
          <t>12MBE41CP124</t>
        </is>
      </c>
      <c r="D312" s="14" t="inlineStr">
        <is>
          <t>GT H/F WATER PUMP-4 SUCTION PT</t>
        </is>
      </c>
      <c r="E312" s="37" t="n"/>
      <c r="F312" s="103" t="n">
        <v>-14.7</v>
      </c>
      <c r="G312" s="103" t="n">
        <v>4000</v>
      </c>
      <c r="H312" s="103" t="n">
        <v>-14.7</v>
      </c>
      <c r="I312" s="103" t="n">
        <v>150</v>
      </c>
      <c r="J312" s="4" t="inlineStr">
        <is>
          <t>psi</t>
        </is>
      </c>
      <c r="K312" s="19" t="inlineStr">
        <is>
          <t>ROSEMOUNT</t>
        </is>
      </c>
      <c r="L312" s="19" t="inlineStr">
        <is>
          <t>2051TG</t>
        </is>
      </c>
      <c r="M312" s="20" t="n">
        <v>10195289</v>
      </c>
      <c r="N312" s="2">
        <f>IF(E312="","Waiting","Calibrated")</f>
        <v/>
      </c>
      <c r="O312" s="2" t="n"/>
      <c r="P312" s="2" t="n"/>
      <c r="Q312" s="2" t="n"/>
      <c r="R312" s="28" t="n"/>
      <c r="S312" s="28" t="n"/>
      <c r="T312" s="32" t="n"/>
    </row>
    <row r="313" ht="30" customFormat="1" customHeight="1" s="5">
      <c r="A313" s="17" t="n">
        <v>311</v>
      </c>
      <c r="B313" s="17" t="inlineStr">
        <is>
          <t>KIPP12</t>
        </is>
      </c>
      <c r="C313" s="2" t="inlineStr">
        <is>
          <t>12MBE41CP141</t>
        </is>
      </c>
      <c r="D313" s="14" t="inlineStr">
        <is>
          <t>GT H/F WATER PUMP-1 DISCHARGE PT</t>
        </is>
      </c>
      <c r="E313" s="37" t="n"/>
      <c r="F313" s="103" t="n">
        <v>0</v>
      </c>
      <c r="G313" s="103" t="n">
        <v>4000</v>
      </c>
      <c r="H313" s="103" t="n">
        <v>-14.7</v>
      </c>
      <c r="I313" s="103" t="n">
        <v>4000</v>
      </c>
      <c r="J313" s="4" t="inlineStr">
        <is>
          <t>psi</t>
        </is>
      </c>
      <c r="K313" s="19" t="inlineStr">
        <is>
          <t>ROSEMOUNT</t>
        </is>
      </c>
      <c r="L313" s="19" t="inlineStr">
        <is>
          <t>2088TG</t>
        </is>
      </c>
      <c r="M313" s="20" t="n">
        <v>631491</v>
      </c>
      <c r="N313" s="2">
        <f>IF(E313="","Waiting","Calibrated")</f>
        <v/>
      </c>
      <c r="O313" s="2" t="n"/>
      <c r="P313" s="2" t="n"/>
      <c r="Q313" s="2" t="n"/>
      <c r="R313" s="28" t="n"/>
      <c r="S313" s="28" t="n"/>
      <c r="T313" s="32" t="n"/>
    </row>
    <row r="314" ht="30" customFormat="1" customHeight="1" s="5">
      <c r="A314" s="17" t="n">
        <v>312</v>
      </c>
      <c r="B314" s="17" t="inlineStr">
        <is>
          <t>KIPP12</t>
        </is>
      </c>
      <c r="C314" s="2" t="inlineStr">
        <is>
          <t>12MBE41CP142</t>
        </is>
      </c>
      <c r="D314" s="14" t="inlineStr">
        <is>
          <t>GT H/F WATER PUMP-2 DISCHARGE PT</t>
        </is>
      </c>
      <c r="E314" s="37" t="n"/>
      <c r="F314" s="103" t="n">
        <v>-14.7</v>
      </c>
      <c r="G314" s="103" t="n">
        <v>4000</v>
      </c>
      <c r="H314" s="103" t="n">
        <v>-14.7</v>
      </c>
      <c r="I314" s="103" t="n">
        <v>4000</v>
      </c>
      <c r="J314" s="4" t="inlineStr">
        <is>
          <t>psi</t>
        </is>
      </c>
      <c r="K314" s="19" t="inlineStr">
        <is>
          <t>ROSEMOUNT</t>
        </is>
      </c>
      <c r="L314" s="19" t="inlineStr">
        <is>
          <t>2088TG</t>
        </is>
      </c>
      <c r="M314" s="20" t="n">
        <v>631489</v>
      </c>
      <c r="N314" s="2">
        <f>IF(E314="","Waiting","Calibrated")</f>
        <v/>
      </c>
      <c r="O314" s="2" t="n"/>
      <c r="P314" s="2" t="n"/>
      <c r="Q314" s="2" t="n"/>
      <c r="R314" s="28" t="n"/>
      <c r="S314" s="28" t="n"/>
      <c r="T314" s="32" t="n"/>
    </row>
    <row r="315" ht="30" customFormat="1" customHeight="1" s="5">
      <c r="A315" s="17" t="n">
        <v>313</v>
      </c>
      <c r="B315" s="17" t="inlineStr">
        <is>
          <t>KIPP12</t>
        </is>
      </c>
      <c r="C315" s="2" t="inlineStr">
        <is>
          <t>12MBE41CP143</t>
        </is>
      </c>
      <c r="D315" s="14" t="inlineStr">
        <is>
          <t>GT H/F WATER PUMP-3 DISCHARGE PT</t>
        </is>
      </c>
      <c r="E315" s="37" t="n"/>
      <c r="F315" s="103" t="n">
        <v>0</v>
      </c>
      <c r="G315" s="103" t="n">
        <v>4000</v>
      </c>
      <c r="H315" s="103" t="n">
        <v>-14.7</v>
      </c>
      <c r="I315" s="103" t="n">
        <v>4000</v>
      </c>
      <c r="J315" s="4" t="inlineStr">
        <is>
          <t>psi</t>
        </is>
      </c>
      <c r="K315" s="19" t="inlineStr">
        <is>
          <t>ROSEMOUNT</t>
        </is>
      </c>
      <c r="L315" s="19" t="inlineStr">
        <is>
          <t>2088TG</t>
        </is>
      </c>
      <c r="M315" s="20" t="n">
        <v>631490</v>
      </c>
      <c r="N315" s="2">
        <f>IF(E315="","Waiting","Calibrated")</f>
        <v/>
      </c>
      <c r="O315" s="2" t="n"/>
      <c r="P315" s="2" t="n"/>
      <c r="Q315" s="2" t="n"/>
      <c r="R315" s="28" t="n"/>
      <c r="S315" s="28" t="n"/>
      <c r="T315" s="32" t="n"/>
    </row>
    <row r="316" ht="30" customFormat="1" customHeight="1" s="5">
      <c r="A316" s="17" t="n">
        <v>314</v>
      </c>
      <c r="B316" s="17" t="inlineStr">
        <is>
          <t>KIPP12</t>
        </is>
      </c>
      <c r="C316" s="2" t="inlineStr">
        <is>
          <t>12MBE41CP144</t>
        </is>
      </c>
      <c r="D316" s="14" t="inlineStr">
        <is>
          <t>GT H/F WATER PUMP-4 DISCHARGE PT</t>
        </is>
      </c>
      <c r="E316" s="37" t="n"/>
      <c r="F316" s="103" t="n">
        <v>0</v>
      </c>
      <c r="G316" s="103" t="n">
        <v>4000</v>
      </c>
      <c r="H316" s="103" t="n">
        <v>-14.7</v>
      </c>
      <c r="I316" s="103" t="n">
        <v>4000</v>
      </c>
      <c r="J316" s="4" t="inlineStr">
        <is>
          <t>psi</t>
        </is>
      </c>
      <c r="K316" s="19" t="inlineStr">
        <is>
          <t>ROSEMOUNT</t>
        </is>
      </c>
      <c r="L316" s="19" t="inlineStr">
        <is>
          <t>2088TG</t>
        </is>
      </c>
      <c r="M316" s="20" t="n">
        <v>631487</v>
      </c>
      <c r="N316" s="2">
        <f>IF(E316="","Waiting","Calibrated")</f>
        <v/>
      </c>
      <c r="O316" s="2" t="n"/>
      <c r="P316" s="2" t="n"/>
      <c r="Q316" s="2" t="n"/>
      <c r="R316" s="28" t="n"/>
      <c r="S316" s="28" t="n"/>
      <c r="T316" s="32" t="n"/>
    </row>
    <row r="317" ht="30" customFormat="1" customHeight="1" s="5">
      <c r="A317" s="17" t="n">
        <v>315</v>
      </c>
      <c r="B317" s="17" t="inlineStr">
        <is>
          <t>KIPP12</t>
        </is>
      </c>
      <c r="C317" s="2" t="inlineStr">
        <is>
          <t>12MBH20CP007</t>
        </is>
      </c>
      <c r="D317" s="14" t="inlineStr">
        <is>
          <t>GT COOLING AIR CARR PT</t>
        </is>
      </c>
      <c r="E317" s="37" t="n"/>
      <c r="F317" s="103" t="n">
        <v>-137.89</v>
      </c>
      <c r="G317" s="103" t="n">
        <v>137.89</v>
      </c>
      <c r="H317" s="103" t="n">
        <v>0</v>
      </c>
      <c r="I317" s="103" t="n">
        <v>15</v>
      </c>
      <c r="J317" s="4" t="inlineStr">
        <is>
          <t>Bar</t>
        </is>
      </c>
      <c r="K317" s="19" t="inlineStr">
        <is>
          <t>ROSEMOUNT</t>
        </is>
      </c>
      <c r="L317" s="20" t="n">
        <v>3051</v>
      </c>
      <c r="M317" s="20" t="n">
        <v>9825271</v>
      </c>
      <c r="N317" s="2">
        <f>IF(E317="","Waiting","Calibrated")</f>
        <v/>
      </c>
      <c r="O317" s="2" t="n"/>
      <c r="P317" s="2" t="n"/>
      <c r="Q317" s="2" t="n"/>
      <c r="R317" s="28" t="inlineStr">
        <is>
          <t>3051CG5A22A1BE8Q4CTA9258</t>
        </is>
      </c>
      <c r="S317" s="28" t="n"/>
      <c r="T317" s="32" t="n"/>
    </row>
    <row r="318" ht="30" customFormat="1" customHeight="1" s="5">
      <c r="A318" s="17" t="n">
        <v>316</v>
      </c>
      <c r="B318" s="17" t="inlineStr">
        <is>
          <t>KIPP12</t>
        </is>
      </c>
      <c r="C318" s="2" t="inlineStr">
        <is>
          <t>12MBH20CP008</t>
        </is>
      </c>
      <c r="D318" s="14" t="inlineStr">
        <is>
          <t>GT COOLING AIR CARR PT</t>
        </is>
      </c>
      <c r="E318" s="37" t="n"/>
      <c r="F318" s="103" t="n">
        <v>-137.89</v>
      </c>
      <c r="G318" s="103" t="n">
        <v>137.89</v>
      </c>
      <c r="H318" s="103" t="n">
        <v>0</v>
      </c>
      <c r="I318" s="103" t="n">
        <v>15</v>
      </c>
      <c r="J318" s="4" t="inlineStr">
        <is>
          <t>Bar</t>
        </is>
      </c>
      <c r="K318" s="19" t="inlineStr">
        <is>
          <t>ROSEMOUNT</t>
        </is>
      </c>
      <c r="L318" s="20" t="n">
        <v>3051</v>
      </c>
      <c r="M318" s="20" t="n">
        <v>9825272</v>
      </c>
      <c r="N318" s="2">
        <f>IF(E318="","Waiting","Calibrated")</f>
        <v/>
      </c>
      <c r="O318" s="2" t="n"/>
      <c r="P318" s="2" t="n"/>
      <c r="Q318" s="2" t="n"/>
      <c r="R318" s="28" t="inlineStr">
        <is>
          <t>3051CG5A22A1BE8Q4CTA9258</t>
        </is>
      </c>
      <c r="S318" s="28" t="n"/>
      <c r="T318" s="32" t="n"/>
    </row>
    <row r="319" ht="30" customFormat="1" customHeight="1" s="5">
      <c r="A319" s="17" t="n">
        <v>317</v>
      </c>
      <c r="B319" s="17" t="inlineStr">
        <is>
          <t>KIPP12</t>
        </is>
      </c>
      <c r="C319" s="2" t="inlineStr">
        <is>
          <t>12MBH20CP009</t>
        </is>
      </c>
      <c r="D319" s="14" t="inlineStr">
        <is>
          <t>GT COOLING AIR CARR PT</t>
        </is>
      </c>
      <c r="E319" s="37" t="n"/>
      <c r="F319" s="103" t="n">
        <v>-137.89</v>
      </c>
      <c r="G319" s="103" t="n">
        <v>137.89</v>
      </c>
      <c r="H319" s="103" t="n">
        <v>0</v>
      </c>
      <c r="I319" s="103" t="n">
        <v>15</v>
      </c>
      <c r="J319" s="4" t="inlineStr">
        <is>
          <t>Bar</t>
        </is>
      </c>
      <c r="K319" s="19" t="inlineStr">
        <is>
          <t>ROSEMOUNT</t>
        </is>
      </c>
      <c r="L319" s="20" t="n">
        <v>3051</v>
      </c>
      <c r="M319" s="20" t="n">
        <v>9825273</v>
      </c>
      <c r="N319" s="2">
        <f>IF(E319="","Waiting","Calibrated")</f>
        <v/>
      </c>
      <c r="O319" s="2" t="n"/>
      <c r="P319" s="2" t="n"/>
      <c r="Q319" s="2" t="n"/>
      <c r="R319" s="28" t="inlineStr">
        <is>
          <t>3051CG5A22A1BE8Q4CTA9258</t>
        </is>
      </c>
      <c r="S319" s="28" t="n"/>
      <c r="T319" s="32" t="n"/>
    </row>
    <row r="320" ht="30" customFormat="1" customHeight="1" s="5">
      <c r="A320" s="17" t="n">
        <v>318</v>
      </c>
      <c r="B320" s="17" t="inlineStr">
        <is>
          <t>KIPP12</t>
        </is>
      </c>
      <c r="C320" s="2" t="inlineStr">
        <is>
          <t>12MBH30CL001</t>
        </is>
      </c>
      <c r="D320" s="14" t="inlineStr">
        <is>
          <t>LP OTC DIFFRENTIAL LEVEL TRANSMITTER</t>
        </is>
      </c>
      <c r="E320" s="37" t="n"/>
      <c r="F320" s="103" t="n">
        <v>-5</v>
      </c>
      <c r="G320" s="103" t="n">
        <v>5</v>
      </c>
      <c r="H320" s="103" t="n">
        <v>0</v>
      </c>
      <c r="I320" s="103" t="n">
        <v>-2</v>
      </c>
      <c r="J320" s="4" t="inlineStr">
        <is>
          <t>Bar</t>
        </is>
      </c>
      <c r="K320" s="19" t="inlineStr">
        <is>
          <t>YOKOGAWA</t>
        </is>
      </c>
      <c r="L320" s="19" t="inlineStr">
        <is>
          <t>EJA110E</t>
        </is>
      </c>
      <c r="M320" s="19" t="inlineStr">
        <is>
          <t>91S313553</t>
        </is>
      </c>
      <c r="N320" s="2">
        <f>IF(E320="","Waiting","Calibrated")</f>
        <v/>
      </c>
      <c r="O320" s="2" t="n"/>
      <c r="P320" s="2" t="n"/>
      <c r="Q320" s="2" t="n"/>
      <c r="R320" s="28" t="n"/>
      <c r="S320" s="28" t="n"/>
      <c r="T320" s="32" t="n"/>
    </row>
    <row r="321" ht="30" customFormat="1" customHeight="1" s="5">
      <c r="A321" s="17" t="n">
        <v>319</v>
      </c>
      <c r="B321" s="17" t="inlineStr">
        <is>
          <t>KIPP12</t>
        </is>
      </c>
      <c r="C321" s="2" t="inlineStr">
        <is>
          <t>12MBH30CL002</t>
        </is>
      </c>
      <c r="D321" s="14" t="inlineStr">
        <is>
          <t>LP OTC DIFFRENTIAL LEVEL TRANSMITTER</t>
        </is>
      </c>
      <c r="E321" s="37" t="n"/>
      <c r="F321" s="103" t="n">
        <v>-5</v>
      </c>
      <c r="G321" s="103" t="n">
        <v>5</v>
      </c>
      <c r="H321" s="103" t="n">
        <v>0</v>
      </c>
      <c r="I321" s="103" t="n">
        <v>-2</v>
      </c>
      <c r="J321" s="4" t="inlineStr">
        <is>
          <t>Bar</t>
        </is>
      </c>
      <c r="K321" s="19" t="inlineStr">
        <is>
          <t>YOKOGAWA</t>
        </is>
      </c>
      <c r="L321" s="19" t="inlineStr">
        <is>
          <t>EJA110E</t>
        </is>
      </c>
      <c r="M321" s="19" t="inlineStr">
        <is>
          <t>91S313554</t>
        </is>
      </c>
      <c r="N321" s="2">
        <f>IF(E321="","Waiting","Calibrated")</f>
        <v/>
      </c>
      <c r="O321" s="2" t="n"/>
      <c r="P321" s="2" t="n"/>
      <c r="Q321" s="2" t="n"/>
      <c r="R321" s="28" t="n"/>
      <c r="S321" s="28" t="n"/>
      <c r="T321" s="32" t="n"/>
    </row>
    <row r="322" ht="30" customFormat="1" customHeight="1" s="5">
      <c r="A322" s="17" t="n">
        <v>320</v>
      </c>
      <c r="B322" s="17" t="inlineStr">
        <is>
          <t>KIPP12</t>
        </is>
      </c>
      <c r="C322" s="2" t="inlineStr">
        <is>
          <t>12MBH30CP003</t>
        </is>
      </c>
      <c r="D322" s="14" t="inlineStr">
        <is>
          <t>P SEV COMBUSTOR PLENUM/KA01</t>
        </is>
      </c>
      <c r="E322" s="37" t="n"/>
      <c r="F322" s="103" t="n">
        <v>-137.89</v>
      </c>
      <c r="G322" s="103" t="n">
        <v>137.89</v>
      </c>
      <c r="H322" s="103" t="n">
        <v>0</v>
      </c>
      <c r="I322" s="103" t="n">
        <v>25</v>
      </c>
      <c r="J322" s="4" t="inlineStr">
        <is>
          <t>Bar</t>
        </is>
      </c>
      <c r="K322" s="19" t="inlineStr">
        <is>
          <t>YOKOGAWA</t>
        </is>
      </c>
      <c r="L322" s="20" t="n">
        <v>3051</v>
      </c>
      <c r="M322" s="19" t="n">
        <v>9825268</v>
      </c>
      <c r="N322" s="2">
        <f>IF(E322="","Waiting","Calibrated")</f>
        <v/>
      </c>
      <c r="O322" s="2" t="n"/>
      <c r="P322" s="2" t="n"/>
      <c r="Q322" s="2" t="n"/>
      <c r="R322" s="28" t="inlineStr">
        <is>
          <t>3051CG5A22A1BE8Q4CTA9258</t>
        </is>
      </c>
      <c r="S322" s="28" t="n"/>
      <c r="T322" s="32" t="n"/>
    </row>
    <row r="323" ht="30" customFormat="1" customHeight="1" s="5">
      <c r="A323" s="17" t="n">
        <v>321</v>
      </c>
      <c r="B323" s="17" t="inlineStr">
        <is>
          <t>KIPP12</t>
        </is>
      </c>
      <c r="C323" s="2" t="inlineStr">
        <is>
          <t>12MBH30CP004</t>
        </is>
      </c>
      <c r="D323" s="14" t="inlineStr">
        <is>
          <t>P SEV COMBUSTOR PLENUM/KA01</t>
        </is>
      </c>
      <c r="E323" s="37" t="n"/>
      <c r="F323" s="103" t="n">
        <v>137.89</v>
      </c>
      <c r="G323" s="103" t="n">
        <v>137.89</v>
      </c>
      <c r="H323" s="103" t="n">
        <v>0</v>
      </c>
      <c r="I323" s="103" t="n">
        <v>25</v>
      </c>
      <c r="J323" s="4" t="inlineStr">
        <is>
          <t>Bar</t>
        </is>
      </c>
      <c r="K323" s="19" t="inlineStr">
        <is>
          <t>ROSEMOUNT</t>
        </is>
      </c>
      <c r="L323" s="20" t="n">
        <v>3051</v>
      </c>
      <c r="M323" s="19" t="n">
        <v>9825269</v>
      </c>
      <c r="N323" s="2">
        <f>IF(E323="","Waiting","Calibrated")</f>
        <v/>
      </c>
      <c r="O323" s="2" t="n"/>
      <c r="P323" s="2" t="n"/>
      <c r="Q323" s="2" t="n"/>
      <c r="R323" s="28" t="inlineStr">
        <is>
          <t>3051CG5A22A1BE8Q4CTA9258</t>
        </is>
      </c>
      <c r="S323" s="28" t="n"/>
      <c r="T323" s="32" t="n"/>
    </row>
    <row r="324" ht="30" customFormat="1" customHeight="1" s="5">
      <c r="A324" s="17" t="n">
        <v>322</v>
      </c>
      <c r="B324" s="17" t="inlineStr">
        <is>
          <t>KIPP12</t>
        </is>
      </c>
      <c r="C324" s="2" t="inlineStr">
        <is>
          <t>12MBH30CP005</t>
        </is>
      </c>
      <c r="D324" s="14" t="inlineStr">
        <is>
          <t>P SEV COMBUSTOR PLENUM/KA01</t>
        </is>
      </c>
      <c r="E324" s="37" t="n"/>
      <c r="F324" s="103" t="n">
        <v>137.89</v>
      </c>
      <c r="G324" s="103" t="n">
        <v>137.89</v>
      </c>
      <c r="H324" s="103" t="n">
        <v>0</v>
      </c>
      <c r="I324" s="103" t="n">
        <v>25</v>
      </c>
      <c r="J324" s="4" t="inlineStr">
        <is>
          <t>Bar</t>
        </is>
      </c>
      <c r="K324" s="19" t="inlineStr">
        <is>
          <t>ROSEMOUNT</t>
        </is>
      </c>
      <c r="L324" s="20" t="n">
        <v>3051</v>
      </c>
      <c r="M324" s="19" t="n">
        <v>9825270</v>
      </c>
      <c r="N324" s="2">
        <f>IF(E324="","Waiting","Calibrated")</f>
        <v/>
      </c>
      <c r="O324" s="2" t="n"/>
      <c r="P324" s="2" t="n"/>
      <c r="Q324" s="2" t="n"/>
      <c r="R324" s="28" t="inlineStr">
        <is>
          <t>3051CG5A22A1BE8Q4CTA9258</t>
        </is>
      </c>
      <c r="S324" s="28" t="n"/>
      <c r="T324" s="32" t="n"/>
    </row>
    <row r="325" ht="30" customFormat="1" customHeight="1" s="5">
      <c r="A325" s="17" t="n">
        <v>323</v>
      </c>
      <c r="B325" s="17" t="inlineStr">
        <is>
          <t>KIPP12</t>
        </is>
      </c>
      <c r="C325" s="2" t="inlineStr">
        <is>
          <t>12MBH30CP015</t>
        </is>
      </c>
      <c r="D325" s="14" t="inlineStr">
        <is>
          <t>PRESSURE DIFF ACROSS LP AIR COOLER</t>
        </is>
      </c>
      <c r="E325" s="37" t="n"/>
      <c r="F325" s="103" t="n">
        <v>-20.684</v>
      </c>
      <c r="G325" s="103" t="n">
        <v>20.684</v>
      </c>
      <c r="H325" s="103" t="n">
        <v>0</v>
      </c>
      <c r="I325" s="103" t="n">
        <v>4</v>
      </c>
      <c r="J325" s="4" t="inlineStr">
        <is>
          <t>Bar</t>
        </is>
      </c>
      <c r="K325" s="19" t="inlineStr">
        <is>
          <t>ROSEMOUNT</t>
        </is>
      </c>
      <c r="L325" s="20" t="n">
        <v>3051</v>
      </c>
      <c r="M325" s="19" t="n">
        <v>9824812</v>
      </c>
      <c r="N325" s="2">
        <f>IF(E325="","Waiting","Calibrated")</f>
        <v/>
      </c>
      <c r="O325" s="2" t="n"/>
      <c r="P325" s="2" t="n"/>
      <c r="Q325" s="2" t="n"/>
      <c r="R325" s="28" t="n"/>
      <c r="S325" s="28" t="n"/>
      <c r="T325" s="32" t="n"/>
    </row>
    <row r="326" ht="30" customFormat="1" customHeight="1" s="5">
      <c r="A326" s="17" t="n">
        <v>324</v>
      </c>
      <c r="B326" s="17" t="inlineStr">
        <is>
          <t>KIPP12</t>
        </is>
      </c>
      <c r="C326" s="2" t="inlineStr">
        <is>
          <t>12MBH30CP020</t>
        </is>
      </c>
      <c r="D326" s="14" t="inlineStr">
        <is>
          <t>P QUENSCH WATER TO LP COOLER</t>
        </is>
      </c>
      <c r="E326" s="37" t="n"/>
      <c r="F326" s="103" t="n">
        <v>137.89</v>
      </c>
      <c r="G326" s="103" t="n">
        <v>137.89</v>
      </c>
      <c r="H326" s="103" t="n">
        <v>0</v>
      </c>
      <c r="I326" s="103" t="n">
        <v>30</v>
      </c>
      <c r="J326" s="4" t="inlineStr">
        <is>
          <t>Bar</t>
        </is>
      </c>
      <c r="K326" s="19" t="inlineStr">
        <is>
          <t>ROSEMOUNT</t>
        </is>
      </c>
      <c r="L326" s="20" t="n">
        <v>3051</v>
      </c>
      <c r="M326" s="19" t="n">
        <v>9825289</v>
      </c>
      <c r="N326" s="2">
        <f>IF(E326="","Waiting","Calibrated")</f>
        <v/>
      </c>
      <c r="O326" s="2" t="n"/>
      <c r="P326" s="2" t="n"/>
      <c r="Q326" s="2" t="n"/>
      <c r="R326" s="28" t="n"/>
      <c r="S326" s="28" t="n"/>
      <c r="T326" s="32" t="n"/>
    </row>
    <row r="327" ht="30" customFormat="1" customHeight="1" s="5">
      <c r="A327" s="17" t="n">
        <v>325</v>
      </c>
      <c r="B327" s="17" t="inlineStr">
        <is>
          <t>KIPP12</t>
        </is>
      </c>
      <c r="C327" s="2" t="inlineStr">
        <is>
          <t>12MBH30CP021</t>
        </is>
      </c>
      <c r="D327" s="14" t="inlineStr">
        <is>
          <t>DP SEV COMBUSTOR LINER</t>
        </is>
      </c>
      <c r="E327" s="37" t="n"/>
      <c r="F327" s="103" t="n">
        <v>-20.684</v>
      </c>
      <c r="G327" s="103" t="n">
        <v>20.684</v>
      </c>
      <c r="H327" s="103" t="n">
        <v>0</v>
      </c>
      <c r="I327" s="103" t="n">
        <v>5</v>
      </c>
      <c r="J327" s="4" t="inlineStr">
        <is>
          <t>Bar</t>
        </is>
      </c>
      <c r="K327" s="19" t="inlineStr">
        <is>
          <t>ROSEMOUNT</t>
        </is>
      </c>
      <c r="L327" s="20" t="n">
        <v>3051</v>
      </c>
      <c r="M327" s="20" t="n">
        <v>9825279</v>
      </c>
      <c r="N327" s="2">
        <f>IF(E327="","Waiting","Calibrated")</f>
        <v/>
      </c>
      <c r="O327" s="2" t="n"/>
      <c r="P327" s="2" t="n"/>
      <c r="Q327" s="2" t="n"/>
      <c r="R327" s="28" t="inlineStr">
        <is>
          <t>3051CD4A22A1BE8Q4CTA9258</t>
        </is>
      </c>
      <c r="S327" s="28" t="n"/>
      <c r="T327" s="32" t="n"/>
    </row>
    <row r="328" ht="30" customFormat="1" customHeight="1" s="5">
      <c r="A328" s="17" t="n">
        <v>326</v>
      </c>
      <c r="B328" s="17" t="inlineStr">
        <is>
          <t>KIPP12</t>
        </is>
      </c>
      <c r="C328" s="2" t="inlineStr">
        <is>
          <t>12MBH30CP022</t>
        </is>
      </c>
      <c r="D328" s="14" t="inlineStr">
        <is>
          <t>P DIFF SEV COMBUSTOR LINER/KA01</t>
        </is>
      </c>
      <c r="E328" s="37" t="n"/>
      <c r="F328" s="103" t="n">
        <v>-20.684</v>
      </c>
      <c r="G328" s="103" t="n">
        <v>20.684</v>
      </c>
      <c r="H328" s="103" t="n">
        <v>0</v>
      </c>
      <c r="I328" s="103" t="n">
        <v>5</v>
      </c>
      <c r="J328" s="4" t="inlineStr">
        <is>
          <t>Bar</t>
        </is>
      </c>
      <c r="K328" s="19" t="inlineStr">
        <is>
          <t>ROSEMOUNT</t>
        </is>
      </c>
      <c r="L328" s="20" t="n">
        <v>3051</v>
      </c>
      <c r="M328" s="20" t="n">
        <v>9825277</v>
      </c>
      <c r="N328" s="2">
        <f>IF(E328="","Waiting","Calibrated")</f>
        <v/>
      </c>
      <c r="O328" s="2" t="n"/>
      <c r="P328" s="2" t="n"/>
      <c r="Q328" s="2" t="n"/>
      <c r="R328" s="28" t="inlineStr">
        <is>
          <t>3051CD4A22A1BE8Q4CTA9258</t>
        </is>
      </c>
      <c r="S328" s="28" t="n"/>
      <c r="T328" s="32" t="n"/>
    </row>
    <row r="329" ht="30" customFormat="1" customHeight="1" s="5">
      <c r="A329" s="17" t="n">
        <v>327</v>
      </c>
      <c r="B329" s="17" t="inlineStr">
        <is>
          <t>KIPP12</t>
        </is>
      </c>
      <c r="C329" s="2" t="inlineStr">
        <is>
          <t>12MBH30CP023</t>
        </is>
      </c>
      <c r="D329" s="14" t="inlineStr">
        <is>
          <t>P DIFF SEV COMBUSTOR LINER/KA01</t>
        </is>
      </c>
      <c r="E329" s="37" t="n"/>
      <c r="F329" s="103" t="n">
        <v>-20.684</v>
      </c>
      <c r="G329" s="103" t="n">
        <v>20.684</v>
      </c>
      <c r="H329" s="103" t="n">
        <v>0</v>
      </c>
      <c r="I329" s="103" t="n">
        <v>5</v>
      </c>
      <c r="J329" s="4" t="inlineStr">
        <is>
          <t>Bar</t>
        </is>
      </c>
      <c r="K329" s="19" t="inlineStr">
        <is>
          <t>ROSEMOUNT</t>
        </is>
      </c>
      <c r="L329" s="20" t="n">
        <v>3051</v>
      </c>
      <c r="M329" s="20" t="n">
        <v>9825278</v>
      </c>
      <c r="N329" s="2">
        <f>IF(E329="","Waiting","Calibrated")</f>
        <v/>
      </c>
      <c r="O329" s="2" t="n"/>
      <c r="P329" s="2" t="n"/>
      <c r="Q329" s="2" t="n"/>
      <c r="R329" s="28" t="inlineStr">
        <is>
          <t>3051CD4A22A1BE8Q4CTA9258</t>
        </is>
      </c>
      <c r="S329" s="28" t="n"/>
      <c r="T329" s="32" t="n"/>
    </row>
    <row r="330" ht="30" customFormat="1" customHeight="1" s="5">
      <c r="A330" s="17" t="n">
        <v>328</v>
      </c>
      <c r="B330" s="17" t="inlineStr">
        <is>
          <t>KIPP12</t>
        </is>
      </c>
      <c r="C330" s="2" t="inlineStr">
        <is>
          <t>12MBH40CL001</t>
        </is>
      </c>
      <c r="D330" s="14" t="inlineStr">
        <is>
          <t>HP OTC DIFFRENTIAL LEVEL TRANSMITTER</t>
        </is>
      </c>
      <c r="E330" s="37" t="n"/>
      <c r="F330" s="103" t="n">
        <v>-5</v>
      </c>
      <c r="G330" s="103" t="n">
        <v>5</v>
      </c>
      <c r="H330" s="103" t="n">
        <v>0</v>
      </c>
      <c r="I330" s="103" t="n">
        <v>-2</v>
      </c>
      <c r="J330" s="4" t="inlineStr">
        <is>
          <t>Bar</t>
        </is>
      </c>
      <c r="K330" s="19" t="inlineStr">
        <is>
          <t>YOKOGAWA</t>
        </is>
      </c>
      <c r="L330" s="19" t="inlineStr">
        <is>
          <t>EJA110E</t>
        </is>
      </c>
      <c r="M330" s="19" t="inlineStr">
        <is>
          <t>91S313551</t>
        </is>
      </c>
      <c r="N330" s="2">
        <f>IF(E330="","Waiting","Calibrated")</f>
        <v/>
      </c>
      <c r="O330" s="2" t="n"/>
      <c r="P330" s="2" t="n"/>
      <c r="Q330" s="2" t="n"/>
      <c r="R330" s="28" t="n"/>
      <c r="S330" s="28" t="n"/>
      <c r="T330" s="32" t="n"/>
    </row>
    <row r="331" ht="30" customFormat="1" customHeight="1" s="5">
      <c r="A331" s="17" t="n">
        <v>329</v>
      </c>
      <c r="B331" s="17" t="inlineStr">
        <is>
          <t>KIPP12</t>
        </is>
      </c>
      <c r="C331" s="2" t="inlineStr">
        <is>
          <t>12MBH40CL002</t>
        </is>
      </c>
      <c r="D331" s="14" t="inlineStr">
        <is>
          <t>HP OTC DIFFRENTIAL LEVEL TRANSMITTER</t>
        </is>
      </c>
      <c r="E331" s="37" t="n"/>
      <c r="F331" s="103" t="n">
        <v>-5</v>
      </c>
      <c r="G331" s="103" t="n">
        <v>5</v>
      </c>
      <c r="H331" s="103" t="n">
        <v>0</v>
      </c>
      <c r="I331" s="103" t="n">
        <v>-2</v>
      </c>
      <c r="J331" s="4" t="inlineStr">
        <is>
          <t>Bar</t>
        </is>
      </c>
      <c r="K331" s="19" t="inlineStr">
        <is>
          <t>YOKOGAWA</t>
        </is>
      </c>
      <c r="L331" s="19" t="inlineStr">
        <is>
          <t>EJA110E</t>
        </is>
      </c>
      <c r="M331" s="19" t="inlineStr">
        <is>
          <t>91S313552</t>
        </is>
      </c>
      <c r="N331" s="2">
        <f>IF(E331="","Waiting","Calibrated")</f>
        <v/>
      </c>
      <c r="O331" s="2" t="n"/>
      <c r="P331" s="2" t="n"/>
      <c r="Q331" s="2" t="n"/>
      <c r="R331" s="28" t="n"/>
      <c r="S331" s="28" t="n"/>
      <c r="T331" s="32" t="n"/>
    </row>
    <row r="332" ht="30" customFormat="1" customHeight="1" s="5">
      <c r="A332" s="17" t="n">
        <v>330</v>
      </c>
      <c r="B332" s="17" t="inlineStr">
        <is>
          <t>KIPP12</t>
        </is>
      </c>
      <c r="C332" s="2" t="inlineStr">
        <is>
          <t>12MBH40CP015</t>
        </is>
      </c>
      <c r="D332" s="14" t="inlineStr">
        <is>
          <t>DP HP OTC</t>
        </is>
      </c>
      <c r="E332" s="37" t="n"/>
      <c r="F332" s="103" t="n">
        <v>-621.6</v>
      </c>
      <c r="G332" s="103" t="n">
        <v>621.6</v>
      </c>
      <c r="H332" s="103" t="n">
        <v>0</v>
      </c>
      <c r="I332" s="103" t="n">
        <v>500</v>
      </c>
      <c r="J332" s="4" t="inlineStr">
        <is>
          <t>mBar</t>
        </is>
      </c>
      <c r="K332" s="19" t="inlineStr">
        <is>
          <t>ROSEMOUNT</t>
        </is>
      </c>
      <c r="L332" s="19" t="inlineStr">
        <is>
          <t>3051 PT</t>
        </is>
      </c>
      <c r="M332" s="19" t="n">
        <v>9825291</v>
      </c>
      <c r="N332" s="2">
        <f>IF(E332="","Waiting","Calibrated")</f>
        <v/>
      </c>
      <c r="O332" s="2" t="n"/>
      <c r="P332" s="2" t="n"/>
      <c r="Q332" s="2" t="n"/>
      <c r="R332" s="28" t="n"/>
      <c r="S332" s="28" t="n"/>
      <c r="T332" s="32" t="n"/>
    </row>
    <row r="333" ht="30" customFormat="1" customHeight="1" s="5">
      <c r="A333" s="17" t="n">
        <v>331</v>
      </c>
      <c r="B333" s="17" t="inlineStr">
        <is>
          <t>KIPP12</t>
        </is>
      </c>
      <c r="C333" s="2" t="inlineStr">
        <is>
          <t>12MBH41CP102</t>
        </is>
      </c>
      <c r="D333" s="14" t="inlineStr">
        <is>
          <t>PRESSURE AFTER BLOW-OFF BYPASS VALVE</t>
        </is>
      </c>
      <c r="E333" s="37" t="n"/>
      <c r="F333" s="103" t="n">
        <v>-137.89</v>
      </c>
      <c r="G333" s="103" t="n">
        <v>137.89</v>
      </c>
      <c r="H333" s="103" t="n">
        <v>0</v>
      </c>
      <c r="I333" s="103" t="n">
        <v>40</v>
      </c>
      <c r="J333" s="4" t="inlineStr">
        <is>
          <t>Bar</t>
        </is>
      </c>
      <c r="K333" s="19" t="inlineStr">
        <is>
          <t>ROSEMOUNT</t>
        </is>
      </c>
      <c r="L333" s="19" t="inlineStr">
        <is>
          <t>3051CD</t>
        </is>
      </c>
      <c r="M333" s="19" t="n"/>
      <c r="N333" s="2">
        <f>IF(E333="","Waiting","Calibrated")</f>
        <v/>
      </c>
      <c r="O333" s="2" t="n"/>
      <c r="P333" s="2" t="n"/>
      <c r="Q333" s="2" t="n"/>
      <c r="R333" s="28" t="n"/>
      <c r="S333" s="28" t="n"/>
      <c r="T333" s="32" t="n"/>
    </row>
    <row r="334" ht="30" customFormat="1" customHeight="1" s="5">
      <c r="A334" s="17" t="n">
        <v>332</v>
      </c>
      <c r="B334" s="17" t="inlineStr">
        <is>
          <t>KIPP12</t>
        </is>
      </c>
      <c r="C334" s="2" t="inlineStr">
        <is>
          <t>12MBH41CP103</t>
        </is>
      </c>
      <c r="D334" s="14" t="inlineStr">
        <is>
          <t>DP FLOW MEASUREMENT</t>
        </is>
      </c>
      <c r="E334" s="37" t="n"/>
      <c r="F334" s="103" t="n">
        <v>-20.684</v>
      </c>
      <c r="G334" s="103" t="n">
        <v>20.684</v>
      </c>
      <c r="H334" s="103" t="n">
        <v>0</v>
      </c>
      <c r="I334" s="103" t="n">
        <v>10</v>
      </c>
      <c r="J334" s="4" t="inlineStr">
        <is>
          <t>Bar</t>
        </is>
      </c>
      <c r="K334" s="19" t="inlineStr">
        <is>
          <t>ROSEMOUNT</t>
        </is>
      </c>
      <c r="L334" s="19" t="inlineStr">
        <is>
          <t>3051CD</t>
        </is>
      </c>
      <c r="M334" s="19" t="n"/>
      <c r="N334" s="2">
        <f>IF(E334="","Waiting","Calibrated")</f>
        <v/>
      </c>
      <c r="O334" s="2" t="n"/>
      <c r="P334" s="2" t="n"/>
      <c r="Q334" s="2" t="n"/>
      <c r="R334" s="28" t="n"/>
      <c r="S334" s="28" t="n"/>
      <c r="T334" s="32" t="n"/>
    </row>
    <row r="335" ht="30" customFormat="1" customHeight="1" s="5">
      <c r="A335" s="17" t="n">
        <v>333</v>
      </c>
      <c r="B335" s="17" t="inlineStr">
        <is>
          <t>KIPP12</t>
        </is>
      </c>
      <c r="C335" s="2" t="inlineStr">
        <is>
          <t>12MBH52CP001</t>
        </is>
      </c>
      <c r="D335" s="14" t="inlineStr">
        <is>
          <t>EXHAUST BEARING FAN 1 PDI</t>
        </is>
      </c>
      <c r="E335" s="37" t="n"/>
      <c r="F335" s="103" t="n">
        <v>-621.6</v>
      </c>
      <c r="G335" s="103" t="n">
        <v>621.6</v>
      </c>
      <c r="H335" s="103" t="n">
        <v>0</v>
      </c>
      <c r="I335" s="103" t="n">
        <v>400</v>
      </c>
      <c r="J335" s="4" t="inlineStr">
        <is>
          <t>mBar</t>
        </is>
      </c>
      <c r="K335" s="19" t="inlineStr">
        <is>
          <t>ROSEMOUNT</t>
        </is>
      </c>
      <c r="L335" s="19" t="inlineStr">
        <is>
          <t>3051 PT</t>
        </is>
      </c>
      <c r="M335" s="19" t="n">
        <v>9891375</v>
      </c>
      <c r="N335" s="2">
        <f>IF(E335="","Waiting","Calibrated")</f>
        <v/>
      </c>
      <c r="O335" s="2" t="n"/>
      <c r="P335" s="2" t="n"/>
      <c r="Q335" s="2" t="n"/>
      <c r="R335" s="28" t="n"/>
      <c r="S335" s="28" t="n"/>
      <c r="T335" s="32" t="n"/>
    </row>
    <row r="336" ht="30" customFormat="1" customHeight="1" s="5">
      <c r="A336" s="17" t="n">
        <v>334</v>
      </c>
      <c r="B336" s="17" t="inlineStr">
        <is>
          <t>KIPP12</t>
        </is>
      </c>
      <c r="C336" s="2" t="inlineStr">
        <is>
          <t>12MBH52CP002</t>
        </is>
      </c>
      <c r="D336" s="14" t="inlineStr">
        <is>
          <t>EXHAUST BEARING FAN 2 PDI</t>
        </is>
      </c>
      <c r="E336" s="37" t="n"/>
      <c r="F336" s="103" t="n">
        <v>-621.6</v>
      </c>
      <c r="G336" s="103" t="n">
        <v>621.6</v>
      </c>
      <c r="H336" s="103" t="n">
        <v>0</v>
      </c>
      <c r="I336" s="103" t="n">
        <v>400</v>
      </c>
      <c r="J336" s="4" t="inlineStr">
        <is>
          <t>mBar</t>
        </is>
      </c>
      <c r="K336" s="19" t="inlineStr">
        <is>
          <t>ROSEMOUNT</t>
        </is>
      </c>
      <c r="L336" s="19" t="inlineStr">
        <is>
          <t>3051 PT</t>
        </is>
      </c>
      <c r="M336" s="20" t="n">
        <v>9891376</v>
      </c>
      <c r="N336" s="2">
        <f>IF(E336="","Waiting","Calibrated")</f>
        <v/>
      </c>
      <c r="O336" s="2" t="n"/>
      <c r="P336" s="2" t="n"/>
      <c r="Q336" s="2" t="n"/>
      <c r="R336" s="28" t="n"/>
      <c r="S336" s="28" t="n"/>
      <c r="T336" s="32" t="n"/>
    </row>
    <row r="337" ht="30" customFormat="1" customHeight="1" s="5">
      <c r="A337" s="17" t="n">
        <v>335</v>
      </c>
      <c r="B337" s="17" t="inlineStr">
        <is>
          <t>KIPP12</t>
        </is>
      </c>
      <c r="C337" s="2" t="inlineStr">
        <is>
          <t>12MBH60CP001</t>
        </is>
      </c>
      <c r="D337" s="14" t="inlineStr">
        <is>
          <t>DP CMAS FAN 1</t>
        </is>
      </c>
      <c r="E337" s="37" t="n"/>
      <c r="F337" s="103" t="n">
        <v>-621.6</v>
      </c>
      <c r="G337" s="103" t="n">
        <v>621.6</v>
      </c>
      <c r="H337" s="103" t="n">
        <v>0</v>
      </c>
      <c r="I337" s="103" t="n">
        <v>50</v>
      </c>
      <c r="J337" s="4" t="inlineStr">
        <is>
          <t>mBar</t>
        </is>
      </c>
      <c r="K337" s="19" t="inlineStr">
        <is>
          <t>ROSEMOUNT</t>
        </is>
      </c>
      <c r="L337" s="19" t="inlineStr">
        <is>
          <t>3051 PT</t>
        </is>
      </c>
      <c r="M337" s="19" t="n">
        <v>9891373</v>
      </c>
      <c r="N337" s="2">
        <f>IF(E337="","Waiting","Calibrated")</f>
        <v/>
      </c>
      <c r="O337" s="2" t="n"/>
      <c r="P337" s="2" t="n"/>
      <c r="Q337" s="2" t="n"/>
      <c r="R337" s="28" t="n"/>
      <c r="S337" s="28" t="n"/>
      <c r="T337" s="32" t="n"/>
    </row>
    <row r="338" ht="30" customFormat="1" customHeight="1" s="5">
      <c r="A338" s="17" t="n">
        <v>336</v>
      </c>
      <c r="B338" s="17" t="inlineStr">
        <is>
          <t>KIPP12</t>
        </is>
      </c>
      <c r="C338" s="2" t="inlineStr">
        <is>
          <t>12MBH60CP002</t>
        </is>
      </c>
      <c r="D338" s="14" t="inlineStr">
        <is>
          <t>DP CMAS FAN 2</t>
        </is>
      </c>
      <c r="E338" s="37" t="n"/>
      <c r="F338" s="103" t="n">
        <v>-621.6</v>
      </c>
      <c r="G338" s="103" t="n">
        <v>621.6</v>
      </c>
      <c r="H338" s="103" t="n">
        <v>0</v>
      </c>
      <c r="I338" s="103" t="n">
        <v>50</v>
      </c>
      <c r="J338" s="4" t="inlineStr">
        <is>
          <t>mBar</t>
        </is>
      </c>
      <c r="K338" s="19" t="inlineStr">
        <is>
          <t>ROSEMOUNT</t>
        </is>
      </c>
      <c r="L338" s="19" t="inlineStr">
        <is>
          <t>3051 PT</t>
        </is>
      </c>
      <c r="M338" s="20" t="n">
        <v>9891374</v>
      </c>
      <c r="N338" s="2">
        <f>IF(E338="","Waiting","Calibrated")</f>
        <v/>
      </c>
      <c r="O338" s="2" t="n"/>
      <c r="P338" s="2" t="n"/>
      <c r="Q338" s="2" t="n"/>
      <c r="R338" s="28" t="n"/>
      <c r="S338" s="28" t="n"/>
      <c r="T338" s="32" t="n"/>
    </row>
    <row r="339" ht="30" customFormat="1" customHeight="1" s="5">
      <c r="A339" s="17" t="n">
        <v>337</v>
      </c>
      <c r="B339" s="17" t="inlineStr">
        <is>
          <t>KIPP12</t>
        </is>
      </c>
      <c r="C339" s="2" t="inlineStr">
        <is>
          <t>12MBH80CP011</t>
        </is>
      </c>
      <c r="D339" s="14" t="inlineStr">
        <is>
          <t>DIFFERENTIAL PRESSURE EV COMBUSTOR</t>
        </is>
      </c>
      <c r="E339" s="37" t="n"/>
      <c r="F339" s="103" t="n">
        <v>-2.4864</v>
      </c>
      <c r="G339" s="103" t="n">
        <v>2.4864</v>
      </c>
      <c r="H339" s="103" t="n">
        <v>0</v>
      </c>
      <c r="I339" s="103" t="n">
        <v>2.5</v>
      </c>
      <c r="J339" s="4" t="inlineStr">
        <is>
          <t>Bar</t>
        </is>
      </c>
      <c r="K339" s="19" t="inlineStr">
        <is>
          <t>ROSEMOUNT</t>
        </is>
      </c>
      <c r="L339" s="19" t="inlineStr">
        <is>
          <t>3051 PT</t>
        </is>
      </c>
      <c r="M339" s="19" t="n">
        <v>9825282</v>
      </c>
      <c r="N339" s="2">
        <f>IF(E339="","Waiting","Calibrated")</f>
        <v/>
      </c>
      <c r="O339" s="2" t="n"/>
      <c r="P339" s="2" t="n"/>
      <c r="Q339" s="2" t="n"/>
      <c r="R339" s="28" t="n"/>
      <c r="S339" s="28" t="n"/>
      <c r="T339" s="32" t="n"/>
    </row>
    <row r="340" ht="30" customFormat="1" customHeight="1" s="5">
      <c r="A340" s="17" t="n">
        <v>338</v>
      </c>
      <c r="B340" s="17" t="inlineStr">
        <is>
          <t>KIPP12</t>
        </is>
      </c>
      <c r="C340" s="2" t="inlineStr">
        <is>
          <t>12MBH80CP012</t>
        </is>
      </c>
      <c r="D340" s="14" t="inlineStr">
        <is>
          <t>DIFFERENTIAL PRESSURE EV COMBUSTOR</t>
        </is>
      </c>
      <c r="E340" s="37" t="n"/>
      <c r="F340" s="103" t="n">
        <v>-2.4864</v>
      </c>
      <c r="G340" s="103" t="n">
        <v>2.4864</v>
      </c>
      <c r="H340" s="103" t="n">
        <v>0</v>
      </c>
      <c r="I340" s="103" t="n">
        <v>2.5</v>
      </c>
      <c r="J340" s="4" t="inlineStr">
        <is>
          <t>Bar</t>
        </is>
      </c>
      <c r="K340" s="19" t="inlineStr">
        <is>
          <t>ROSEMOUNT</t>
        </is>
      </c>
      <c r="L340" s="19" t="inlineStr">
        <is>
          <t>3051 PT</t>
        </is>
      </c>
      <c r="M340" s="19" t="n">
        <v>9825283</v>
      </c>
      <c r="N340" s="2">
        <f>IF(E340="","Waiting","Calibrated")</f>
        <v/>
      </c>
      <c r="O340" s="2" t="n"/>
      <c r="P340" s="2" t="n"/>
      <c r="Q340" s="2" t="n"/>
      <c r="R340" s="28" t="n"/>
      <c r="S340" s="28" t="n"/>
      <c r="T340" s="32" t="n"/>
    </row>
    <row r="341" ht="30" customFormat="1" customHeight="1" s="5">
      <c r="A341" s="17" t="n">
        <v>339</v>
      </c>
      <c r="B341" s="17" t="inlineStr">
        <is>
          <t>KIPP12</t>
        </is>
      </c>
      <c r="C341" s="2" t="inlineStr">
        <is>
          <t>12MBH90CP001</t>
        </is>
      </c>
      <c r="D341" s="14" t="inlineStr">
        <is>
          <t>PRESSURE BEFORE ANTI-ICING CONTROL VALVE</t>
        </is>
      </c>
      <c r="E341" s="37" t="n"/>
      <c r="F341" s="103" t="n">
        <v>-137.89</v>
      </c>
      <c r="G341" s="103" t="n">
        <v>137.89</v>
      </c>
      <c r="H341" s="103" t="n">
        <v>0</v>
      </c>
      <c r="I341" s="103" t="n">
        <v>40</v>
      </c>
      <c r="J341" s="4" t="inlineStr">
        <is>
          <t>Bar</t>
        </is>
      </c>
      <c r="K341" s="19" t="inlineStr">
        <is>
          <t>ROSEMOUNT</t>
        </is>
      </c>
      <c r="L341" s="19" t="inlineStr">
        <is>
          <t>3051 PT</t>
        </is>
      </c>
      <c r="M341" s="19" t="n">
        <v>9914215</v>
      </c>
      <c r="N341" s="2">
        <f>IF(E341="","Waiting","Calibrated")</f>
        <v/>
      </c>
      <c r="O341" s="2" t="n"/>
      <c r="P341" s="2" t="n"/>
      <c r="Q341" s="2" t="n"/>
      <c r="R341" s="28" t="n"/>
      <c r="S341" s="28" t="n"/>
      <c r="T341" s="32" t="n"/>
    </row>
    <row r="342" ht="30" customFormat="1" customHeight="1" s="5">
      <c r="A342" s="17" t="n">
        <v>340</v>
      </c>
      <c r="B342" s="17" t="inlineStr">
        <is>
          <t>KIPP12</t>
        </is>
      </c>
      <c r="C342" s="2" t="inlineStr">
        <is>
          <t>12MBH90CP004</t>
        </is>
      </c>
      <c r="D342" s="14" t="inlineStr">
        <is>
          <t>DP OVER ANTI ICING CV</t>
        </is>
      </c>
      <c r="E342" s="37" t="n"/>
      <c r="F342" s="103" t="n">
        <v>-137.89</v>
      </c>
      <c r="G342" s="103" t="n">
        <v>137.89</v>
      </c>
      <c r="H342" s="103" t="n">
        <v>0</v>
      </c>
      <c r="I342" s="103" t="n">
        <v>40</v>
      </c>
      <c r="J342" s="4" t="inlineStr">
        <is>
          <t>Bar</t>
        </is>
      </c>
      <c r="K342" s="19" t="inlineStr">
        <is>
          <t>ROSEMOUNT</t>
        </is>
      </c>
      <c r="L342" s="19" t="inlineStr">
        <is>
          <t>3051 PT</t>
        </is>
      </c>
      <c r="M342" s="19" t="n">
        <v>9914217</v>
      </c>
      <c r="N342" s="2">
        <f>IF(E342="","Waiting","Calibrated")</f>
        <v/>
      </c>
      <c r="O342" s="2" t="n"/>
      <c r="P342" s="2" t="n"/>
      <c r="Q342" s="2" t="n"/>
      <c r="R342" s="28" t="n"/>
      <c r="S342" s="28" t="n"/>
      <c r="T342" s="32" t="n"/>
    </row>
    <row r="343" ht="30" customFormat="1" customHeight="1" s="5">
      <c r="A343" s="17" t="n">
        <v>341</v>
      </c>
      <c r="B343" s="17" t="inlineStr">
        <is>
          <t>KIPP12</t>
        </is>
      </c>
      <c r="C343" s="2" t="inlineStr">
        <is>
          <t>12MBL01CP011</t>
        </is>
      </c>
      <c r="D343" s="14" t="inlineStr">
        <is>
          <t>DP AIR INTK FLTR TOT</t>
        </is>
      </c>
      <c r="E343" s="37" t="n"/>
      <c r="F343" s="103" t="n">
        <v>-621.6</v>
      </c>
      <c r="G343" s="103" t="n">
        <v>621.6</v>
      </c>
      <c r="H343" s="103" t="n">
        <v>0</v>
      </c>
      <c r="I343" s="103" t="n">
        <v>3000</v>
      </c>
      <c r="J343" s="4" t="inlineStr">
        <is>
          <t>Pa</t>
        </is>
      </c>
      <c r="K343" s="19" t="inlineStr">
        <is>
          <t>ROSEMOUNT</t>
        </is>
      </c>
      <c r="L343" s="19" t="inlineStr">
        <is>
          <t>3051 PT</t>
        </is>
      </c>
      <c r="M343" s="19" t="n">
        <v>98426871</v>
      </c>
      <c r="N343" s="2">
        <f>IF(E343="","Waiting","Calibrated")</f>
        <v/>
      </c>
      <c r="O343" s="2" t="n"/>
      <c r="P343" s="2" t="n"/>
      <c r="Q343" s="2" t="n"/>
      <c r="R343" s="28" t="n"/>
      <c r="S343" s="28" t="n"/>
      <c r="T343" s="32" t="n"/>
    </row>
    <row r="344" ht="30" customFormat="1" customHeight="1" s="5">
      <c r="A344" s="17" t="n">
        <v>342</v>
      </c>
      <c r="B344" s="17" t="inlineStr">
        <is>
          <t>KIPP12</t>
        </is>
      </c>
      <c r="C344" s="2" t="inlineStr">
        <is>
          <t>12MBL01CP012</t>
        </is>
      </c>
      <c r="D344" s="14" t="inlineStr">
        <is>
          <t>DP AIR INTK FLTR TOT</t>
        </is>
      </c>
      <c r="E344" s="37" t="n"/>
      <c r="F344" s="103" t="n">
        <v>-621.6</v>
      </c>
      <c r="G344" s="103" t="n">
        <v>621.6</v>
      </c>
      <c r="H344" s="103" t="n">
        <v>0</v>
      </c>
      <c r="I344" s="103" t="n">
        <v>3000</v>
      </c>
      <c r="J344" s="4" t="inlineStr">
        <is>
          <t>Pa</t>
        </is>
      </c>
      <c r="K344" s="19" t="inlineStr">
        <is>
          <t>ROSEMOUNT</t>
        </is>
      </c>
      <c r="L344" s="19" t="inlineStr">
        <is>
          <t>3051 PT</t>
        </is>
      </c>
      <c r="M344" s="19" t="n">
        <v>9844814</v>
      </c>
      <c r="N344" s="2">
        <f>IF(E344="","Waiting","Calibrated")</f>
        <v/>
      </c>
      <c r="O344" s="2" t="n"/>
      <c r="P344" s="2" t="n"/>
      <c r="Q344" s="2" t="n"/>
      <c r="R344" s="28" t="n"/>
      <c r="S344" s="28" t="n"/>
      <c r="T344" s="32" t="n"/>
    </row>
    <row r="345" ht="30" customFormat="1" customHeight="1" s="5">
      <c r="A345" s="17" t="n">
        <v>343</v>
      </c>
      <c r="B345" s="17" t="inlineStr">
        <is>
          <t>KIPP12</t>
        </is>
      </c>
      <c r="C345" s="2" t="inlineStr">
        <is>
          <t>12MBL51CP001</t>
        </is>
      </c>
      <c r="D345" s="14" t="inlineStr">
        <is>
          <t>DP PRE FLTR STAGE</t>
        </is>
      </c>
      <c r="E345" s="37" t="n"/>
      <c r="F345" s="103" t="n">
        <v>-621.6</v>
      </c>
      <c r="G345" s="103" t="n">
        <v>621.6</v>
      </c>
      <c r="H345" s="103" t="n">
        <v>0</v>
      </c>
      <c r="I345" s="103" t="n">
        <v>2500</v>
      </c>
      <c r="J345" s="4" t="inlineStr">
        <is>
          <t>Pa</t>
        </is>
      </c>
      <c r="K345" s="19" t="inlineStr">
        <is>
          <t>ROSEMOUNT</t>
        </is>
      </c>
      <c r="L345" s="19" t="inlineStr">
        <is>
          <t>3051 PT</t>
        </is>
      </c>
      <c r="M345" s="19" t="n">
        <v>9844808</v>
      </c>
      <c r="N345" s="2">
        <f>IF(E345="","Waiting","Calibrated")</f>
        <v/>
      </c>
      <c r="O345" s="2" t="n"/>
      <c r="P345" s="2" t="n"/>
      <c r="Q345" s="2" t="n"/>
      <c r="R345" s="28" t="n"/>
      <c r="S345" s="28" t="n"/>
      <c r="T345" s="32" t="n"/>
    </row>
    <row r="346" ht="30" customFormat="1" customHeight="1" s="5">
      <c r="A346" s="17" t="n">
        <v>344</v>
      </c>
      <c r="B346" s="17" t="inlineStr">
        <is>
          <t>KIPP12</t>
        </is>
      </c>
      <c r="C346" s="2" t="inlineStr">
        <is>
          <t>12MBL51CP002</t>
        </is>
      </c>
      <c r="D346" s="14" t="inlineStr">
        <is>
          <t>DP FINE FLTR STAGE</t>
        </is>
      </c>
      <c r="E346" s="37" t="n"/>
      <c r="F346" s="103" t="n">
        <v>-621.6</v>
      </c>
      <c r="G346" s="103" t="n">
        <v>621.6</v>
      </c>
      <c r="H346" s="103" t="n">
        <v>0</v>
      </c>
      <c r="I346" s="103" t="n">
        <v>2500</v>
      </c>
      <c r="J346" s="4" t="inlineStr">
        <is>
          <t>Pa</t>
        </is>
      </c>
      <c r="K346" s="19" t="inlineStr">
        <is>
          <t>ROSEMOUNT</t>
        </is>
      </c>
      <c r="L346" s="19" t="inlineStr">
        <is>
          <t>3051 PT</t>
        </is>
      </c>
      <c r="M346" s="19" t="n">
        <v>9844809</v>
      </c>
      <c r="N346" s="2">
        <f>IF(E346="","Waiting","Calibrated")</f>
        <v/>
      </c>
      <c r="O346" s="2" t="n"/>
      <c r="P346" s="2" t="n"/>
      <c r="Q346" s="2" t="n"/>
      <c r="R346" s="28" t="n"/>
      <c r="S346" s="28" t="n"/>
      <c r="T346" s="32" t="n"/>
    </row>
    <row r="347" ht="30" customFormat="1" customHeight="1" s="5">
      <c r="A347" s="17" t="n">
        <v>345</v>
      </c>
      <c r="B347" s="17" t="inlineStr">
        <is>
          <t>KIPP12</t>
        </is>
      </c>
      <c r="C347" s="2" t="inlineStr">
        <is>
          <t>12MBL51CP012</t>
        </is>
      </c>
      <c r="D347" s="14" t="inlineStr">
        <is>
          <t>DP FINE FLTR STAGE</t>
        </is>
      </c>
      <c r="E347" s="37" t="n"/>
      <c r="F347" s="103" t="n">
        <v>-621.6</v>
      </c>
      <c r="G347" s="103" t="n">
        <v>621.6</v>
      </c>
      <c r="H347" s="103" t="n">
        <v>0</v>
      </c>
      <c r="I347" s="103" t="n">
        <v>2500</v>
      </c>
      <c r="J347" s="4" t="inlineStr">
        <is>
          <t>Pa</t>
        </is>
      </c>
      <c r="K347" s="19" t="inlineStr">
        <is>
          <t>ROSEMOUNT</t>
        </is>
      </c>
      <c r="L347" s="19" t="inlineStr">
        <is>
          <t>3051 PT</t>
        </is>
      </c>
      <c r="M347" s="19" t="n">
        <v>9844810</v>
      </c>
      <c r="N347" s="2">
        <f>IF(E347="","Waiting","Calibrated")</f>
        <v/>
      </c>
      <c r="O347" s="2" t="n"/>
      <c r="P347" s="2" t="n"/>
      <c r="Q347" s="2" t="n"/>
      <c r="R347" s="28" t="n"/>
      <c r="S347" s="28" t="n"/>
      <c r="T347" s="32" t="n"/>
    </row>
    <row r="348" ht="30" customFormat="1" customHeight="1" s="5">
      <c r="A348" s="17" t="n">
        <v>346</v>
      </c>
      <c r="B348" s="17" t="inlineStr">
        <is>
          <t>KIPP12</t>
        </is>
      </c>
      <c r="C348" s="2" t="inlineStr">
        <is>
          <t>12MBL61CP010</t>
        </is>
      </c>
      <c r="D348" s="14" t="inlineStr">
        <is>
          <t>EVAP COOLER PUMP AFTER PRESSURE</t>
        </is>
      </c>
      <c r="E348" s="37" t="n"/>
      <c r="F348" s="103" t="n">
        <v>-621.6</v>
      </c>
      <c r="G348" s="103" t="n">
        <v>621.6</v>
      </c>
      <c r="H348" s="103" t="n">
        <v>0</v>
      </c>
      <c r="I348" s="103" t="n">
        <v>2500</v>
      </c>
      <c r="J348" s="4" t="inlineStr">
        <is>
          <t>Pa</t>
        </is>
      </c>
      <c r="K348" s="19" t="inlineStr">
        <is>
          <t>ROSEMOUNT</t>
        </is>
      </c>
      <c r="L348" s="19" t="inlineStr">
        <is>
          <t>3051 PT</t>
        </is>
      </c>
      <c r="M348" s="19" t="n">
        <v>9852955</v>
      </c>
      <c r="N348" s="2">
        <f>IF(E348="","Waiting","Calibrated")</f>
        <v/>
      </c>
      <c r="O348" s="2" t="n"/>
      <c r="P348" s="2" t="n"/>
      <c r="Q348" s="2" t="n"/>
      <c r="R348" s="28" t="n"/>
      <c r="S348" s="28" t="n"/>
      <c r="T348" s="32" t="n"/>
    </row>
    <row r="349" ht="30" customFormat="1" customHeight="1" s="5">
      <c r="A349" s="17" t="n">
        <v>347</v>
      </c>
      <c r="B349" s="17" t="inlineStr">
        <is>
          <t>KIPP12</t>
        </is>
      </c>
      <c r="C349" s="2" t="inlineStr">
        <is>
          <t>12MBP01CP003</t>
        </is>
      </c>
      <c r="D349" s="14" t="inlineStr">
        <is>
          <t>FUEL GAS FILTER DP</t>
        </is>
      </c>
      <c r="E349" s="37" t="n"/>
      <c r="F349" s="103" t="n">
        <v>-2.4864</v>
      </c>
      <c r="G349" s="103" t="n">
        <v>2.4864</v>
      </c>
      <c r="H349" s="103" t="n">
        <v>0</v>
      </c>
      <c r="I349" s="103" t="n">
        <v>1.5</v>
      </c>
      <c r="J349" s="4" t="inlineStr">
        <is>
          <t>Bar</t>
        </is>
      </c>
      <c r="K349" s="19" t="inlineStr">
        <is>
          <t>ROSEMOUNT</t>
        </is>
      </c>
      <c r="L349" s="19" t="inlineStr">
        <is>
          <t>3051 PT</t>
        </is>
      </c>
      <c r="M349" s="19" t="n">
        <v>9789263</v>
      </c>
      <c r="N349" s="2">
        <f>IF(E349="","Waiting","Calibrated")</f>
        <v/>
      </c>
      <c r="O349" s="2" t="n"/>
      <c r="P349" s="2" t="n"/>
      <c r="Q349" s="2" t="n"/>
      <c r="R349" s="28" t="n"/>
      <c r="S349" s="28" t="n"/>
      <c r="T349" s="32" t="n"/>
    </row>
    <row r="350" ht="30" customFormat="1" customHeight="1" s="5">
      <c r="A350" s="17" t="n">
        <v>348</v>
      </c>
      <c r="B350" s="17" t="inlineStr">
        <is>
          <t>KIPP12</t>
        </is>
      </c>
      <c r="C350" s="2" t="inlineStr">
        <is>
          <t>12MBP05CP102</t>
        </is>
      </c>
      <c r="D350" s="14" t="inlineStr">
        <is>
          <t>EV FUEL GAS FLOW PT</t>
        </is>
      </c>
      <c r="E350" s="37" t="n"/>
      <c r="F350" s="103" t="n">
        <v>0</v>
      </c>
      <c r="G350" s="103" t="n">
        <v>55.16</v>
      </c>
      <c r="H350" s="103" t="n">
        <v>0</v>
      </c>
      <c r="I350" s="103" t="n">
        <v>55</v>
      </c>
      <c r="J350" s="4" t="inlineStr">
        <is>
          <t>Bar</t>
        </is>
      </c>
      <c r="K350" s="19" t="inlineStr">
        <is>
          <t>ROSEMOUNT</t>
        </is>
      </c>
      <c r="L350" s="19" t="inlineStr">
        <is>
          <t>3051 PT</t>
        </is>
      </c>
      <c r="M350" s="19" t="n">
        <v>9846442</v>
      </c>
      <c r="N350" s="2">
        <f>IF(E350="","Waiting","Calibrated")</f>
        <v/>
      </c>
      <c r="O350" s="2" t="n"/>
      <c r="P350" s="2" t="n"/>
      <c r="Q350" s="2" t="n"/>
      <c r="R350" s="28" t="n"/>
      <c r="S350" s="28" t="n"/>
      <c r="T350" s="32" t="inlineStr">
        <is>
          <t>Atm. Basıncı 0,935 Bar</t>
        </is>
      </c>
    </row>
    <row r="351" ht="30" customFormat="1" customHeight="1" s="5">
      <c r="A351" s="17" t="n">
        <v>349</v>
      </c>
      <c r="B351" s="17" t="inlineStr">
        <is>
          <t>KIPP12</t>
        </is>
      </c>
      <c r="C351" s="2" t="inlineStr">
        <is>
          <t>12MBP41CP001</t>
        </is>
      </c>
      <c r="D351" s="14" t="inlineStr">
        <is>
          <t>P AFT TRIP SOV EV</t>
        </is>
      </c>
      <c r="E351" s="37" t="n"/>
      <c r="F351" s="103" t="n">
        <v>-137.89</v>
      </c>
      <c r="G351" s="103" t="n">
        <v>137.89</v>
      </c>
      <c r="H351" s="103" t="n">
        <v>0</v>
      </c>
      <c r="I351" s="103" t="n">
        <v>70</v>
      </c>
      <c r="J351" s="4" t="inlineStr">
        <is>
          <t>Bar</t>
        </is>
      </c>
      <c r="K351" s="19" t="inlineStr">
        <is>
          <t>ROSEMOUNT</t>
        </is>
      </c>
      <c r="L351" s="19" t="inlineStr">
        <is>
          <t>3051 PT</t>
        </is>
      </c>
      <c r="M351" s="19" t="n">
        <v>9782037</v>
      </c>
      <c r="N351" s="2">
        <f>IF(E351="","Waiting","Calibrated")</f>
        <v/>
      </c>
      <c r="O351" s="2" t="n"/>
      <c r="P351" s="2" t="n"/>
      <c r="Q351" s="2" t="n"/>
      <c r="R351" s="28" t="n"/>
      <c r="S351" s="28" t="n"/>
      <c r="T351" s="32" t="n"/>
    </row>
    <row r="352" ht="30" customFormat="1" customHeight="1" s="5">
      <c r="A352" s="17" t="n">
        <v>350</v>
      </c>
      <c r="B352" s="17" t="inlineStr">
        <is>
          <t>KIPP12</t>
        </is>
      </c>
      <c r="C352" s="2" t="inlineStr">
        <is>
          <t>12MBP41CP004</t>
        </is>
      </c>
      <c r="D352" s="14" t="inlineStr">
        <is>
          <t>DP CV EV STG2</t>
        </is>
      </c>
      <c r="E352" s="37" t="n"/>
      <c r="F352" s="103" t="n">
        <v>-137.89</v>
      </c>
      <c r="G352" s="103" t="n">
        <v>137.89</v>
      </c>
      <c r="H352" s="103" t="n">
        <v>0</v>
      </c>
      <c r="I352" s="103" t="n">
        <v>70</v>
      </c>
      <c r="J352" s="4" t="inlineStr">
        <is>
          <t>Bar</t>
        </is>
      </c>
      <c r="K352" s="19" t="inlineStr">
        <is>
          <t>ROSEMOUNT</t>
        </is>
      </c>
      <c r="L352" s="19" t="inlineStr">
        <is>
          <t>3051 PT</t>
        </is>
      </c>
      <c r="M352" s="19" t="n">
        <v>9782043</v>
      </c>
      <c r="N352" s="2">
        <f>IF(E352="","Waiting","Calibrated")</f>
        <v/>
      </c>
      <c r="O352" s="2" t="n"/>
      <c r="P352" s="2" t="n"/>
      <c r="Q352" s="2" t="n"/>
      <c r="R352" s="28" t="n"/>
      <c r="S352" s="28" t="n"/>
      <c r="T352" s="32" t="n"/>
    </row>
    <row r="353" ht="30" customFormat="1" customHeight="1" s="5">
      <c r="A353" s="17" t="n">
        <v>351</v>
      </c>
      <c r="B353" s="17" t="inlineStr">
        <is>
          <t>KIPP12</t>
        </is>
      </c>
      <c r="C353" s="2" t="inlineStr">
        <is>
          <t>12MBP41CP006</t>
        </is>
      </c>
      <c r="D353" s="14" t="inlineStr">
        <is>
          <t>P AFT CV FGAS EV</t>
        </is>
      </c>
      <c r="E353" s="37" t="n"/>
      <c r="F353" s="103" t="n">
        <v>-137.89</v>
      </c>
      <c r="G353" s="103" t="n">
        <v>137.89</v>
      </c>
      <c r="H353" s="103" t="n">
        <v>0</v>
      </c>
      <c r="I353" s="103" t="n">
        <v>70</v>
      </c>
      <c r="J353" s="4" t="inlineStr">
        <is>
          <t>Bar</t>
        </is>
      </c>
      <c r="K353" s="19" t="inlineStr">
        <is>
          <t>ROSEMOUNT</t>
        </is>
      </c>
      <c r="L353" s="19" t="inlineStr">
        <is>
          <t>3051 PT</t>
        </is>
      </c>
      <c r="M353" s="19" t="n">
        <v>9782038</v>
      </c>
      <c r="N353" s="2">
        <f>IF(E353="","Waiting","Calibrated")</f>
        <v/>
      </c>
      <c r="O353" s="2" t="n"/>
      <c r="P353" s="2" t="n"/>
      <c r="Q353" s="2" t="n"/>
      <c r="R353" s="28" t="n"/>
      <c r="S353" s="28" t="n"/>
      <c r="T353" s="32" t="n"/>
    </row>
    <row r="354" ht="30" customFormat="1" customHeight="1" s="5">
      <c r="A354" s="17" t="n">
        <v>352</v>
      </c>
      <c r="B354" s="17" t="inlineStr">
        <is>
          <t>KIPP12</t>
        </is>
      </c>
      <c r="C354" s="2" t="inlineStr">
        <is>
          <t>12MBP42CP001</t>
        </is>
      </c>
      <c r="D354" s="14" t="inlineStr">
        <is>
          <t>P BEF FGAS TRIP SOV SEV</t>
        </is>
      </c>
      <c r="E354" s="37" t="n"/>
      <c r="F354" s="103" t="n">
        <v>-137.89</v>
      </c>
      <c r="G354" s="103" t="n">
        <v>137.89</v>
      </c>
      <c r="H354" s="103" t="n">
        <v>0</v>
      </c>
      <c r="I354" s="103" t="n">
        <v>70</v>
      </c>
      <c r="J354" s="4" t="inlineStr">
        <is>
          <t>Bar</t>
        </is>
      </c>
      <c r="K354" s="19" t="inlineStr">
        <is>
          <t>ROSEMOUNT</t>
        </is>
      </c>
      <c r="L354" s="19" t="inlineStr">
        <is>
          <t>3051 PT</t>
        </is>
      </c>
      <c r="M354" s="19" t="n">
        <v>9782039</v>
      </c>
      <c r="N354" s="2">
        <f>IF(E354="","Waiting","Calibrated")</f>
        <v/>
      </c>
      <c r="O354" s="2" t="n"/>
      <c r="P354" s="2" t="n"/>
      <c r="Q354" s="2" t="n"/>
      <c r="R354" s="28" t="n"/>
      <c r="S354" s="28" t="n"/>
      <c r="T354" s="32" t="n"/>
    </row>
    <row r="355" ht="30" customFormat="1" customHeight="1" s="5">
      <c r="A355" s="17" t="n">
        <v>353</v>
      </c>
      <c r="B355" s="17" t="inlineStr">
        <is>
          <t>KIPP12</t>
        </is>
      </c>
      <c r="C355" s="2" t="inlineStr">
        <is>
          <t>12MBP42CP004</t>
        </is>
      </c>
      <c r="D355" s="14" t="inlineStr">
        <is>
          <t>DP CV FGAS SEV</t>
        </is>
      </c>
      <c r="E355" s="37" t="n"/>
      <c r="F355" s="103" t="n">
        <v>-137.89</v>
      </c>
      <c r="G355" s="103" t="n">
        <v>137.89</v>
      </c>
      <c r="H355" s="103" t="n">
        <v>0</v>
      </c>
      <c r="I355" s="103" t="n">
        <v>70</v>
      </c>
      <c r="J355" s="4" t="inlineStr">
        <is>
          <t>Bar</t>
        </is>
      </c>
      <c r="K355" s="19" t="inlineStr">
        <is>
          <t>ROSEMOUNT</t>
        </is>
      </c>
      <c r="L355" s="19" t="inlineStr">
        <is>
          <t>3051 PT</t>
        </is>
      </c>
      <c r="M355" s="19" t="n">
        <v>9782044</v>
      </c>
      <c r="N355" s="2">
        <f>IF(E355="","Waiting","Calibrated")</f>
        <v/>
      </c>
      <c r="O355" s="2" t="n"/>
      <c r="P355" s="2" t="n"/>
      <c r="Q355" s="2" t="n"/>
      <c r="R355" s="28" t="n"/>
      <c r="S355" s="28" t="n"/>
      <c r="T355" s="32" t="n"/>
    </row>
    <row r="356" ht="30" customFormat="1" customHeight="1" s="5">
      <c r="A356" s="17" t="n">
        <v>354</v>
      </c>
      <c r="B356" s="17" t="inlineStr">
        <is>
          <t>KIPP12</t>
        </is>
      </c>
      <c r="C356" s="2" t="inlineStr">
        <is>
          <t>12MBP42CP006</t>
        </is>
      </c>
      <c r="D356" s="14" t="inlineStr">
        <is>
          <t>P AFT CV FGAS SEV</t>
        </is>
      </c>
      <c r="E356" s="37" t="n"/>
      <c r="F356" s="103" t="n">
        <v>-137.89</v>
      </c>
      <c r="G356" s="103" t="n">
        <v>137.89</v>
      </c>
      <c r="H356" s="103" t="n">
        <v>0</v>
      </c>
      <c r="I356" s="103" t="n">
        <v>70</v>
      </c>
      <c r="J356" s="4" t="inlineStr">
        <is>
          <t>Bar</t>
        </is>
      </c>
      <c r="K356" s="19" t="inlineStr">
        <is>
          <t>ROSEMOUNT</t>
        </is>
      </c>
      <c r="L356" s="19" t="inlineStr">
        <is>
          <t>3051 PT</t>
        </is>
      </c>
      <c r="M356" s="19" t="n">
        <v>9782040</v>
      </c>
      <c r="N356" s="2">
        <f>IF(E356="","Waiting","Calibrated")</f>
        <v/>
      </c>
      <c r="O356" s="2" t="n"/>
      <c r="P356" s="2" t="n"/>
      <c r="Q356" s="2" t="n"/>
      <c r="R356" s="28" t="n"/>
      <c r="S356" s="28" t="n"/>
      <c r="T356" s="32" t="n"/>
    </row>
    <row r="357" ht="30" customFormat="1" customHeight="1" s="5">
      <c r="A357" s="17" t="n">
        <v>355</v>
      </c>
      <c r="B357" s="17" t="inlineStr">
        <is>
          <t>KIPP12</t>
        </is>
      </c>
      <c r="C357" s="2" t="inlineStr">
        <is>
          <t>12MBP43CP001</t>
        </is>
      </c>
      <c r="D357" s="14" t="inlineStr">
        <is>
          <t>P BFR CV EV STG1 FGAS</t>
        </is>
      </c>
      <c r="E357" s="37" t="n"/>
      <c r="F357" s="103" t="n">
        <v>-137.89</v>
      </c>
      <c r="G357" s="103" t="n">
        <v>137.89</v>
      </c>
      <c r="H357" s="103" t="n">
        <v>0</v>
      </c>
      <c r="I357" s="103" t="n">
        <v>70</v>
      </c>
      <c r="J357" s="4" t="inlineStr">
        <is>
          <t>Bar</t>
        </is>
      </c>
      <c r="K357" s="19" t="inlineStr">
        <is>
          <t>ROSEMOUNT</t>
        </is>
      </c>
      <c r="L357" s="19" t="inlineStr">
        <is>
          <t>3051 PT</t>
        </is>
      </c>
      <c r="M357" s="19" t="n">
        <v>9782041</v>
      </c>
      <c r="N357" s="2">
        <f>IF(E357="","Waiting","Calibrated")</f>
        <v/>
      </c>
      <c r="O357" s="2" t="n"/>
      <c r="P357" s="2" t="n"/>
      <c r="Q357" s="2" t="n"/>
      <c r="R357" s="28" t="n"/>
      <c r="S357" s="28" t="n"/>
      <c r="T357" s="32" t="n"/>
    </row>
    <row r="358" ht="30" customFormat="1" customHeight="1" s="5">
      <c r="A358" s="17" t="n">
        <v>356</v>
      </c>
      <c r="B358" s="17" t="inlineStr">
        <is>
          <t>KIPP12</t>
        </is>
      </c>
      <c r="C358" s="2" t="inlineStr">
        <is>
          <t>12MBP43CP004</t>
        </is>
      </c>
      <c r="D358" s="14" t="inlineStr">
        <is>
          <t>DP CV EVSTG1 FGAS</t>
        </is>
      </c>
      <c r="E358" s="37" t="n"/>
      <c r="F358" s="103" t="n">
        <v>-137.89</v>
      </c>
      <c r="G358" s="103" t="n">
        <v>137.89</v>
      </c>
      <c r="H358" s="103" t="n">
        <v>0</v>
      </c>
      <c r="I358" s="103" t="n">
        <v>70</v>
      </c>
      <c r="J358" s="4" t="inlineStr">
        <is>
          <t>Bar</t>
        </is>
      </c>
      <c r="K358" s="19" t="inlineStr">
        <is>
          <t>ROSEMOUNT</t>
        </is>
      </c>
      <c r="L358" s="19" t="inlineStr">
        <is>
          <t>3051 PT</t>
        </is>
      </c>
      <c r="M358" s="19" t="n">
        <v>9782045</v>
      </c>
      <c r="N358" s="2">
        <f>IF(E358="","Waiting","Calibrated")</f>
        <v/>
      </c>
      <c r="O358" s="2" t="n"/>
      <c r="P358" s="2" t="n"/>
      <c r="Q358" s="2" t="n"/>
      <c r="R358" s="28" t="n"/>
      <c r="S358" s="28" t="n"/>
      <c r="T358" s="32" t="n"/>
    </row>
    <row r="359" ht="30" customFormat="1" customHeight="1" s="5">
      <c r="A359" s="17" t="n">
        <v>357</v>
      </c>
      <c r="B359" s="17" t="inlineStr">
        <is>
          <t>KIPP12</t>
        </is>
      </c>
      <c r="C359" s="2" t="inlineStr">
        <is>
          <t>12MBP43CP006</t>
        </is>
      </c>
      <c r="D359" s="14" t="inlineStr">
        <is>
          <t>P AFT CV EV STG1 FGAS</t>
        </is>
      </c>
      <c r="E359" s="37" t="n"/>
      <c r="F359" s="103" t="n">
        <v>-137.89</v>
      </c>
      <c r="G359" s="103" t="n">
        <v>137.89</v>
      </c>
      <c r="H359" s="103" t="n">
        <v>0</v>
      </c>
      <c r="I359" s="103" t="n">
        <v>70</v>
      </c>
      <c r="J359" s="4" t="inlineStr">
        <is>
          <t>Bar</t>
        </is>
      </c>
      <c r="K359" s="19" t="inlineStr">
        <is>
          <t>ROSEMOUNT</t>
        </is>
      </c>
      <c r="L359" s="19" t="inlineStr">
        <is>
          <t>3051 PT</t>
        </is>
      </c>
      <c r="M359" s="19" t="n">
        <v>9782042</v>
      </c>
      <c r="N359" s="2">
        <f>IF(E359="","Waiting","Calibrated")</f>
        <v/>
      </c>
      <c r="O359" s="2" t="n"/>
      <c r="P359" s="2" t="n"/>
      <c r="Q359" s="2" t="n"/>
      <c r="R359" s="28" t="n"/>
      <c r="S359" s="28" t="n"/>
      <c r="T359" s="32" t="n"/>
    </row>
    <row r="360" ht="30" customFormat="1" customHeight="1" s="5">
      <c r="A360" s="17" t="n">
        <v>358</v>
      </c>
      <c r="B360" s="17" t="inlineStr">
        <is>
          <t>KIPP12</t>
        </is>
      </c>
      <c r="C360" s="2" t="inlineStr">
        <is>
          <t>12MBV10CP001</t>
        </is>
      </c>
      <c r="D360" s="14" t="inlineStr">
        <is>
          <t>PRESSURE LUBE OIL TANK</t>
        </is>
      </c>
      <c r="E360" s="37" t="n"/>
      <c r="F360" s="103" t="n">
        <v>-62.16</v>
      </c>
      <c r="G360" s="103" t="n">
        <v>62.16</v>
      </c>
      <c r="H360" s="103" t="n">
        <v>0</v>
      </c>
      <c r="I360" s="103" t="n">
        <v>60</v>
      </c>
      <c r="J360" s="4" t="inlineStr">
        <is>
          <t>Bar</t>
        </is>
      </c>
      <c r="K360" s="19" t="inlineStr">
        <is>
          <t>ROSEMOUNT</t>
        </is>
      </c>
      <c r="L360" s="19" t="inlineStr">
        <is>
          <t>3051 PT</t>
        </is>
      </c>
      <c r="M360" s="19" t="n">
        <v>9782022</v>
      </c>
      <c r="N360" s="2">
        <f>IF(E360="","Waiting","Calibrated")</f>
        <v/>
      </c>
      <c r="O360" s="2" t="n"/>
      <c r="P360" s="2" t="n"/>
      <c r="Q360" s="2" t="n"/>
      <c r="R360" s="28" t="n"/>
      <c r="S360" s="28" t="n"/>
      <c r="T360" s="32" t="n"/>
    </row>
    <row r="361" ht="30" customFormat="1" customHeight="1" s="5">
      <c r="A361" s="17" t="n">
        <v>359</v>
      </c>
      <c r="B361" s="17" t="inlineStr">
        <is>
          <t>KIPP12</t>
        </is>
      </c>
      <c r="C361" s="2" t="inlineStr">
        <is>
          <t>12MBV21CP001</t>
        </is>
      </c>
      <c r="D361" s="14" t="inlineStr">
        <is>
          <t>P AFT LUBE OIL PMP 1</t>
        </is>
      </c>
      <c r="E361" s="37" t="n"/>
      <c r="F361" s="103" t="n">
        <v>-1.013</v>
      </c>
      <c r="G361" s="103" t="n">
        <v>10.342</v>
      </c>
      <c r="H361" s="103" t="n">
        <v>0</v>
      </c>
      <c r="I361" s="103" t="n">
        <v>10</v>
      </c>
      <c r="J361" s="4" t="inlineStr">
        <is>
          <t>Bar</t>
        </is>
      </c>
      <c r="K361" s="19" t="inlineStr">
        <is>
          <t>ROSEMOUNT</t>
        </is>
      </c>
      <c r="L361" s="19" t="inlineStr">
        <is>
          <t>2088 PT</t>
        </is>
      </c>
      <c r="M361" s="19" t="n">
        <v>9791825</v>
      </c>
      <c r="N361" s="2">
        <f>IF(E361="","Waiting","Calibrated")</f>
        <v/>
      </c>
      <c r="O361" s="2" t="n"/>
      <c r="P361" s="2" t="n"/>
      <c r="Q361" s="2" t="n"/>
      <c r="R361" s="28" t="n"/>
      <c r="S361" s="28" t="n"/>
      <c r="T361" s="32" t="n"/>
    </row>
    <row r="362" ht="30" customFormat="1" customHeight="1" s="5">
      <c r="A362" s="17" t="n">
        <v>360</v>
      </c>
      <c r="B362" s="17" t="inlineStr">
        <is>
          <t>KIPP12</t>
        </is>
      </c>
      <c r="C362" s="2" t="inlineStr">
        <is>
          <t>12MBV21CP002</t>
        </is>
      </c>
      <c r="D362" s="14" t="inlineStr">
        <is>
          <t>P AFT LUBE OIL PMP 2</t>
        </is>
      </c>
      <c r="E362" s="37" t="n"/>
      <c r="F362" s="103" t="n">
        <v>-1.013</v>
      </c>
      <c r="G362" s="103" t="n">
        <v>10.342</v>
      </c>
      <c r="H362" s="103" t="n">
        <v>0</v>
      </c>
      <c r="I362" s="103" t="n">
        <v>10</v>
      </c>
      <c r="J362" s="4" t="inlineStr">
        <is>
          <t>Bar</t>
        </is>
      </c>
      <c r="K362" s="19" t="inlineStr">
        <is>
          <t>ROSEMOUNT</t>
        </is>
      </c>
      <c r="L362" s="19" t="inlineStr">
        <is>
          <t>2088 PT</t>
        </is>
      </c>
      <c r="M362" s="19" t="n">
        <v>9791826</v>
      </c>
      <c r="N362" s="2">
        <f>IF(E362="","Waiting","Calibrated")</f>
        <v/>
      </c>
      <c r="O362" s="2" t="n"/>
      <c r="P362" s="2" t="n"/>
      <c r="Q362" s="2" t="n"/>
      <c r="R362" s="28" t="n"/>
      <c r="S362" s="28" t="n"/>
      <c r="T362" s="32" t="n"/>
    </row>
    <row r="363" ht="30" customFormat="1" customHeight="1" s="5">
      <c r="A363" s="17" t="n">
        <v>361</v>
      </c>
      <c r="B363" s="17" t="inlineStr">
        <is>
          <t>KIPP12</t>
        </is>
      </c>
      <c r="C363" s="2" t="inlineStr">
        <is>
          <t>12MBV21CP003</t>
        </is>
      </c>
      <c r="D363" s="14" t="inlineStr">
        <is>
          <t>LUBE OIL FILTER DP</t>
        </is>
      </c>
      <c r="E363" s="37" t="n"/>
      <c r="F363" s="103" t="n">
        <v>-2.4864</v>
      </c>
      <c r="G363" s="103" t="n">
        <v>2.4864</v>
      </c>
      <c r="H363" s="103" t="n">
        <v>-2.5</v>
      </c>
      <c r="I363" s="103" t="n">
        <v>2.5</v>
      </c>
      <c r="J363" s="4" t="inlineStr">
        <is>
          <t>Bar</t>
        </is>
      </c>
      <c r="K363" s="19" t="inlineStr">
        <is>
          <t>ROSEMOUNT</t>
        </is>
      </c>
      <c r="L363" s="19" t="inlineStr">
        <is>
          <t>3051 PT</t>
        </is>
      </c>
      <c r="M363" s="19" t="n">
        <v>9782023</v>
      </c>
      <c r="N363" s="2">
        <f>IF(E363="","Waiting","Calibrated")</f>
        <v/>
      </c>
      <c r="O363" s="2" t="n"/>
      <c r="P363" s="2" t="n"/>
      <c r="Q363" s="2" t="n"/>
      <c r="R363" s="28" t="n"/>
      <c r="S363" s="28" t="n"/>
      <c r="T363" s="32" t="n"/>
    </row>
    <row r="364" ht="30" customFormat="1" customHeight="1" s="5">
      <c r="A364" s="17" t="n">
        <v>362</v>
      </c>
      <c r="B364" s="17" t="inlineStr">
        <is>
          <t>KIPP12</t>
        </is>
      </c>
      <c r="C364" s="2" t="inlineStr">
        <is>
          <t>12MBV22CP001</t>
        </is>
      </c>
      <c r="D364" s="14" t="inlineStr">
        <is>
          <t>EMERGENCY LUBE OIL PUMP AFTER PRESSURE</t>
        </is>
      </c>
      <c r="E364" s="37" t="n"/>
      <c r="F364" s="103" t="n">
        <v>-10.342</v>
      </c>
      <c r="G364" s="103" t="n">
        <v>10.342</v>
      </c>
      <c r="H364" s="103" t="n">
        <v>0</v>
      </c>
      <c r="I364" s="103" t="n">
        <v>10</v>
      </c>
      <c r="J364" s="4" t="inlineStr">
        <is>
          <t>Bar</t>
        </is>
      </c>
      <c r="K364" s="19" t="inlineStr">
        <is>
          <t>ROSEMOUNT</t>
        </is>
      </c>
      <c r="L364" s="19" t="inlineStr">
        <is>
          <t>2088 PT</t>
        </is>
      </c>
      <c r="M364" s="19" t="n">
        <v>9791827</v>
      </c>
      <c r="N364" s="2">
        <f>IF(E364="","Waiting","Calibrated")</f>
        <v/>
      </c>
      <c r="O364" s="2" t="n"/>
      <c r="P364" s="2" t="n"/>
      <c r="Q364" s="2" t="n"/>
      <c r="R364" s="28" t="n"/>
      <c r="S364" s="28" t="n"/>
      <c r="T364" s="32" t="n"/>
    </row>
    <row r="365" ht="30" customFormat="1" customHeight="1" s="5">
      <c r="A365" s="17" t="n">
        <v>363</v>
      </c>
      <c r="B365" s="17" t="inlineStr">
        <is>
          <t>KIPP12</t>
        </is>
      </c>
      <c r="C365" s="2" t="inlineStr">
        <is>
          <t>12MBV40CP001</t>
        </is>
      </c>
      <c r="D365" s="14" t="inlineStr">
        <is>
          <t>LUBE OIL HEADER PRESSURE</t>
        </is>
      </c>
      <c r="E365" s="37" t="n"/>
      <c r="F365" s="103" t="n">
        <v>-10.342</v>
      </c>
      <c r="G365" s="103" t="n">
        <v>10.342</v>
      </c>
      <c r="H365" s="103" t="n">
        <v>0</v>
      </c>
      <c r="I365" s="103" t="n">
        <v>10</v>
      </c>
      <c r="J365" s="4" t="inlineStr">
        <is>
          <t>Bar</t>
        </is>
      </c>
      <c r="K365" s="19" t="inlineStr">
        <is>
          <t>ROSEMOUNT</t>
        </is>
      </c>
      <c r="L365" s="19" t="inlineStr">
        <is>
          <t>2088 PT</t>
        </is>
      </c>
      <c r="M365" s="19" t="n">
        <v>9791828</v>
      </c>
      <c r="N365" s="2">
        <f>IF(E365="","Waiting","Calibrated")</f>
        <v/>
      </c>
      <c r="O365" s="2" t="n"/>
      <c r="P365" s="2" t="n"/>
      <c r="Q365" s="2" t="n"/>
      <c r="R365" s="28" t="n"/>
      <c r="S365" s="28" t="n"/>
      <c r="T365" s="32" t="n"/>
    </row>
    <row r="366" ht="30" customFormat="1" customHeight="1" s="5">
      <c r="A366" s="17" t="n">
        <v>364</v>
      </c>
      <c r="B366" s="17" t="inlineStr">
        <is>
          <t>KIPP12</t>
        </is>
      </c>
      <c r="C366" s="2" t="inlineStr">
        <is>
          <t>12MBV40CP002</t>
        </is>
      </c>
      <c r="D366" s="14" t="inlineStr">
        <is>
          <t>LUBE OIL HEADER PRESSURE</t>
        </is>
      </c>
      <c r="E366" s="37" t="n"/>
      <c r="F366" s="103" t="n">
        <v>-10.342</v>
      </c>
      <c r="G366" s="103" t="n">
        <v>10.342</v>
      </c>
      <c r="H366" s="103" t="n">
        <v>0</v>
      </c>
      <c r="I366" s="103" t="n">
        <v>10</v>
      </c>
      <c r="J366" s="4" t="inlineStr">
        <is>
          <t>Bar</t>
        </is>
      </c>
      <c r="K366" s="19" t="inlineStr">
        <is>
          <t>ROSEMOUNT</t>
        </is>
      </c>
      <c r="L366" s="19" t="inlineStr">
        <is>
          <t>2088 PT</t>
        </is>
      </c>
      <c r="M366" s="19" t="n">
        <v>9791829</v>
      </c>
      <c r="N366" s="2">
        <f>IF(E366="","Waiting","Calibrated")</f>
        <v/>
      </c>
      <c r="O366" s="2" t="n"/>
      <c r="P366" s="2" t="n"/>
      <c r="Q366" s="2" t="n"/>
      <c r="R366" s="28" t="n"/>
      <c r="S366" s="28" t="n"/>
      <c r="T366" s="32" t="n"/>
    </row>
    <row r="367" ht="30" customFormat="1" customHeight="1" s="5">
      <c r="A367" s="17" t="n">
        <v>365</v>
      </c>
      <c r="B367" s="17" t="inlineStr">
        <is>
          <t>KIPP12</t>
        </is>
      </c>
      <c r="C367" s="2" t="inlineStr">
        <is>
          <t>12MBV40CP003</t>
        </is>
      </c>
      <c r="D367" s="14" t="inlineStr">
        <is>
          <t>LUBE OIL HEADER PRESSURE</t>
        </is>
      </c>
      <c r="E367" s="37" t="n"/>
      <c r="F367" s="103" t="n">
        <v>-10.342</v>
      </c>
      <c r="G367" s="103" t="n">
        <v>10.342</v>
      </c>
      <c r="H367" s="103" t="n">
        <v>0</v>
      </c>
      <c r="I367" s="103" t="n">
        <v>10</v>
      </c>
      <c r="J367" s="4" t="inlineStr">
        <is>
          <t>Bar</t>
        </is>
      </c>
      <c r="K367" s="19" t="inlineStr">
        <is>
          <t>ROSEMOUNT</t>
        </is>
      </c>
      <c r="L367" s="19" t="inlineStr">
        <is>
          <t>2088 PT</t>
        </is>
      </c>
      <c r="M367" s="19" t="n">
        <v>9791830</v>
      </c>
      <c r="N367" s="2">
        <f>IF(E367="","Waiting","Calibrated")</f>
        <v/>
      </c>
      <c r="O367" s="2" t="n"/>
      <c r="P367" s="2" t="n"/>
      <c r="Q367" s="2" t="n"/>
      <c r="R367" s="28" t="n"/>
      <c r="S367" s="28" t="n"/>
      <c r="T367" s="32" t="n"/>
    </row>
    <row r="368" ht="30" customFormat="1" customHeight="1" s="5">
      <c r="A368" s="17" t="n">
        <v>366</v>
      </c>
      <c r="B368" s="17" t="inlineStr">
        <is>
          <t>KIPP12</t>
        </is>
      </c>
      <c r="C368" s="2" t="inlineStr">
        <is>
          <t>12MBV40CP006</t>
        </is>
      </c>
      <c r="D368" s="14" t="inlineStr">
        <is>
          <t>P LUBE OIL HEADER 6 ( PRESSURE SWITCH )</t>
        </is>
      </c>
      <c r="E368" s="37" t="n"/>
      <c r="F368" s="103" t="n">
        <v>0</v>
      </c>
      <c r="G368" s="103" t="n">
        <v>10</v>
      </c>
      <c r="H368" s="103" t="n">
        <v>1.99</v>
      </c>
      <c r="I368" s="103" t="n">
        <v>2.2</v>
      </c>
      <c r="J368" s="4" t="inlineStr">
        <is>
          <t>Bar</t>
        </is>
      </c>
      <c r="K368" s="19" t="inlineStr">
        <is>
          <t>Trafog</t>
        </is>
      </c>
      <c r="L368" s="19" t="inlineStr">
        <is>
          <t>Switch</t>
        </is>
      </c>
      <c r="M368" s="19" t="inlineStr">
        <is>
          <t>-</t>
        </is>
      </c>
      <c r="N368" s="2">
        <f>IF(E368="","Waiting","Calibrated")</f>
        <v/>
      </c>
      <c r="O368" s="2" t="n"/>
      <c r="P368" s="2" t="n"/>
      <c r="Q368" s="2" t="n"/>
      <c r="R368" s="28" t="n"/>
      <c r="S368" s="28" t="n"/>
      <c r="T368" s="32" t="n"/>
    </row>
    <row r="369" ht="30" customFormat="1" customHeight="1" s="5">
      <c r="A369" s="17" t="n">
        <v>367</v>
      </c>
      <c r="B369" s="17" t="inlineStr">
        <is>
          <t>KIPP12</t>
        </is>
      </c>
      <c r="C369" s="2" t="inlineStr">
        <is>
          <t>12MBX21CP001</t>
        </is>
      </c>
      <c r="D369" s="14" t="inlineStr">
        <is>
          <t>P AFT PWR OIL PMP 1</t>
        </is>
      </c>
      <c r="E369" s="37" t="n"/>
      <c r="F369" s="103" t="n">
        <v>-1.01</v>
      </c>
      <c r="G369" s="103" t="n">
        <v>55.16</v>
      </c>
      <c r="H369" s="103" t="n">
        <v>0</v>
      </c>
      <c r="I369" s="103" t="n">
        <v>52</v>
      </c>
      <c r="J369" s="4" t="inlineStr">
        <is>
          <t>Bar</t>
        </is>
      </c>
      <c r="K369" s="19" t="inlineStr">
        <is>
          <t>ROSEMOUNT</t>
        </is>
      </c>
      <c r="L369" s="19" t="inlineStr">
        <is>
          <t>2088 PT</t>
        </is>
      </c>
      <c r="M369" s="20" t="n">
        <v>9791831</v>
      </c>
      <c r="N369" s="2">
        <f>IF(E369="","Waiting","Calibrated")</f>
        <v/>
      </c>
      <c r="O369" s="2" t="n"/>
      <c r="P369" s="2" t="n"/>
      <c r="Q369" s="2" t="n"/>
      <c r="R369" s="28" t="n"/>
      <c r="S369" s="28" t="n"/>
      <c r="T369" s="32" t="n"/>
    </row>
    <row r="370" ht="30" customFormat="1" customHeight="1" s="5">
      <c r="A370" s="17" t="n">
        <v>368</v>
      </c>
      <c r="B370" s="17" t="inlineStr">
        <is>
          <t>KIPP12</t>
        </is>
      </c>
      <c r="C370" s="2" t="inlineStr">
        <is>
          <t>12MBX21CP002</t>
        </is>
      </c>
      <c r="D370" s="14" t="inlineStr">
        <is>
          <t>P AFT PWR OIL PMP 2</t>
        </is>
      </c>
      <c r="E370" s="37" t="n"/>
      <c r="F370" s="103" t="n">
        <v>-1.01</v>
      </c>
      <c r="G370" s="103" t="n">
        <v>55.16</v>
      </c>
      <c r="H370" s="103" t="n">
        <v>0</v>
      </c>
      <c r="I370" s="103" t="n">
        <v>52</v>
      </c>
      <c r="J370" s="4" t="inlineStr">
        <is>
          <t>Bar</t>
        </is>
      </c>
      <c r="K370" s="19" t="inlineStr">
        <is>
          <t>ROSEMOUNT</t>
        </is>
      </c>
      <c r="L370" s="19" t="inlineStr">
        <is>
          <t>2088 PT</t>
        </is>
      </c>
      <c r="M370" s="19" t="n">
        <v>9791832</v>
      </c>
      <c r="N370" s="2">
        <f>IF(E370="","Waiting","Calibrated")</f>
        <v/>
      </c>
      <c r="O370" s="2" t="n"/>
      <c r="P370" s="2" t="n"/>
      <c r="Q370" s="2" t="n"/>
      <c r="R370" s="28" t="n"/>
      <c r="S370" s="28" t="n"/>
      <c r="T370" s="32" t="n"/>
    </row>
    <row r="371" ht="30" customFormat="1" customHeight="1" s="5">
      <c r="A371" s="17" t="n">
        <v>369</v>
      </c>
      <c r="B371" s="17" t="inlineStr">
        <is>
          <t>KIPP12</t>
        </is>
      </c>
      <c r="C371" s="2" t="inlineStr">
        <is>
          <t>12MBX21CP010</t>
        </is>
      </c>
      <c r="D371" s="14" t="inlineStr">
        <is>
          <t>GT P/O TWIN FILTER PDT</t>
        </is>
      </c>
      <c r="E371" s="37" t="n"/>
      <c r="F371" s="103" t="n">
        <v>-20.684</v>
      </c>
      <c r="G371" s="103" t="n">
        <v>20.684</v>
      </c>
      <c r="H371" s="103" t="n">
        <v>-2</v>
      </c>
      <c r="I371" s="103" t="n">
        <v>8</v>
      </c>
      <c r="J371" s="4" t="inlineStr">
        <is>
          <t>Bar</t>
        </is>
      </c>
      <c r="K371" s="19" t="inlineStr">
        <is>
          <t>ROSEMOUNT</t>
        </is>
      </c>
      <c r="L371" s="19" t="inlineStr">
        <is>
          <t>3051CD</t>
        </is>
      </c>
      <c r="M371" s="20" t="n">
        <v>9782046</v>
      </c>
      <c r="N371" s="2">
        <f>IF(E371="","Waiting","Calibrated")</f>
        <v/>
      </c>
      <c r="O371" s="2" t="n"/>
      <c r="P371" s="2" t="n"/>
      <c r="Q371" s="2" t="n"/>
      <c r="R371" s="28" t="n"/>
      <c r="S371" s="28" t="n"/>
      <c r="T371" s="32" t="n"/>
    </row>
    <row r="372" ht="30" customFormat="1" customHeight="1" s="5">
      <c r="A372" s="17" t="n">
        <v>370</v>
      </c>
      <c r="B372" s="17" t="inlineStr">
        <is>
          <t>KIPP12</t>
        </is>
      </c>
      <c r="C372" s="2" t="inlineStr">
        <is>
          <t>12MBX42CP001</t>
        </is>
      </c>
      <c r="D372" s="14" t="inlineStr">
        <is>
          <t>P HYDR SAFETY SYS</t>
        </is>
      </c>
      <c r="E372" s="37" t="n"/>
      <c r="F372" s="103" t="n">
        <v>-137.89</v>
      </c>
      <c r="G372" s="103" t="n">
        <v>137.89</v>
      </c>
      <c r="H372" s="103" t="n">
        <v>0</v>
      </c>
      <c r="I372" s="103" t="n">
        <v>60</v>
      </c>
      <c r="J372" s="4" t="inlineStr">
        <is>
          <t>Bar</t>
        </is>
      </c>
      <c r="K372" s="19" t="inlineStr">
        <is>
          <t>ROSEMOUNT</t>
        </is>
      </c>
      <c r="L372" s="19" t="inlineStr">
        <is>
          <t>3051 PT</t>
        </is>
      </c>
      <c r="M372" s="19" t="n">
        <v>9782047</v>
      </c>
      <c r="N372" s="2">
        <f>IF(E372="","Waiting","Calibrated")</f>
        <v/>
      </c>
      <c r="O372" s="2" t="n"/>
      <c r="P372" s="2" t="n"/>
      <c r="Q372" s="2" t="n"/>
      <c r="R372" s="28" t="n"/>
      <c r="S372" s="28" t="n"/>
      <c r="T372" s="32" t="n"/>
    </row>
    <row r="373" ht="30" customFormat="1" customHeight="1" s="5">
      <c r="A373" s="17" t="n">
        <v>371</v>
      </c>
      <c r="B373" s="17" t="inlineStr">
        <is>
          <t>KIPP12</t>
        </is>
      </c>
      <c r="C373" s="2" t="inlineStr">
        <is>
          <t>12LAB90CP001</t>
        </is>
      </c>
      <c r="D373" s="14" t="inlineStr">
        <is>
          <t>FEED WATER TO GT OTC STRAINER PDT</t>
        </is>
      </c>
      <c r="E373" s="37" t="n"/>
      <c r="F373" s="103" t="n">
        <v>-5</v>
      </c>
      <c r="G373" s="103" t="n">
        <v>5</v>
      </c>
      <c r="H373" s="103" t="n">
        <v>0</v>
      </c>
      <c r="I373" s="103" t="n">
        <v>2</v>
      </c>
      <c r="J373" s="4" t="inlineStr">
        <is>
          <t>Bar</t>
        </is>
      </c>
      <c r="K373" s="19" t="inlineStr">
        <is>
          <t>YOKOGAWA</t>
        </is>
      </c>
      <c r="L373" s="19" t="inlineStr">
        <is>
          <t>EJA110E</t>
        </is>
      </c>
      <c r="M373" s="19" t="inlineStr">
        <is>
          <t>91S313546</t>
        </is>
      </c>
      <c r="N373" s="2">
        <f>IF(E373="","Waiting","Calibrated")</f>
        <v/>
      </c>
      <c r="O373" s="2" t="n"/>
      <c r="P373" s="2" t="n"/>
      <c r="Q373" s="2" t="n"/>
      <c r="R373" s="28" t="n"/>
      <c r="S373" s="28" t="n"/>
      <c r="T373" s="32" t="n"/>
    </row>
    <row r="374" ht="30" customFormat="1" customHeight="1" s="5">
      <c r="A374" s="17" t="n">
        <v>372</v>
      </c>
      <c r="B374" s="17" t="inlineStr">
        <is>
          <t>KIPP12</t>
        </is>
      </c>
      <c r="C374" s="2" t="inlineStr">
        <is>
          <t>12LAB91CF101</t>
        </is>
      </c>
      <c r="D374" s="14" t="inlineStr">
        <is>
          <t>FW LP OTC  FITCA</t>
        </is>
      </c>
      <c r="E374" s="37" t="n">
        <v>46097</v>
      </c>
      <c r="F374" s="103" t="n">
        <v>-2486.4</v>
      </c>
      <c r="G374" s="103" t="n">
        <v>2486.4</v>
      </c>
      <c r="H374" s="103" t="n">
        <v>0</v>
      </c>
      <c r="I374" s="103" t="n">
        <v>600</v>
      </c>
      <c r="J374" s="4" t="inlineStr">
        <is>
          <t>mBar</t>
        </is>
      </c>
      <c r="K374" s="19" t="inlineStr">
        <is>
          <t>ROSEMOUNT</t>
        </is>
      </c>
      <c r="L374" s="19" t="inlineStr">
        <is>
          <t>3051CD</t>
        </is>
      </c>
      <c r="M374" s="19" t="n">
        <v>9816774</v>
      </c>
      <c r="N374" s="2">
        <f>IF(E374="","Waiting","Calibrated")</f>
        <v/>
      </c>
      <c r="O374" s="2" t="n"/>
      <c r="P374" s="2" t="n"/>
      <c r="Q374" s="2" t="n"/>
      <c r="R374" s="28" t="n"/>
      <c r="S374" s="28" t="n"/>
      <c r="T374" s="32" t="n"/>
    </row>
    <row r="375" ht="30" customFormat="1" customHeight="1" s="5">
      <c r="A375" s="17" t="n">
        <v>373</v>
      </c>
      <c r="B375" s="17" t="inlineStr">
        <is>
          <t>KIPP12</t>
        </is>
      </c>
      <c r="C375" s="2" t="inlineStr">
        <is>
          <t>12LAB91CF102</t>
        </is>
      </c>
      <c r="D375" s="14" t="inlineStr">
        <is>
          <t>FW LP OTC  FITCA</t>
        </is>
      </c>
      <c r="E375" s="37" t="n">
        <v>46097</v>
      </c>
      <c r="F375" s="103" t="n">
        <v>-2486.4</v>
      </c>
      <c r="G375" s="103" t="n">
        <v>2486.4</v>
      </c>
      <c r="H375" s="103" t="n">
        <v>0</v>
      </c>
      <c r="I375" s="103" t="n">
        <v>600</v>
      </c>
      <c r="J375" s="4" t="inlineStr">
        <is>
          <t>mBar</t>
        </is>
      </c>
      <c r="K375" s="19" t="inlineStr">
        <is>
          <t>ROSEMOUNT</t>
        </is>
      </c>
      <c r="L375" s="19" t="inlineStr">
        <is>
          <t>3051CD</t>
        </is>
      </c>
      <c r="M375" s="19" t="n">
        <v>9816937</v>
      </c>
      <c r="N375" s="2">
        <f>IF(E375="","Waiting","Calibrated")</f>
        <v/>
      </c>
      <c r="O375" s="2" t="n"/>
      <c r="P375" s="2" t="n"/>
      <c r="Q375" s="2" t="n"/>
      <c r="R375" s="28" t="n"/>
      <c r="S375" s="28" t="n"/>
      <c r="T375" s="32" t="n"/>
    </row>
    <row r="376" ht="30" customFormat="1" customHeight="1" s="5">
      <c r="A376" s="17" t="n">
        <v>374</v>
      </c>
      <c r="B376" s="17" t="inlineStr">
        <is>
          <t>KIPP12</t>
        </is>
      </c>
      <c r="C376" s="2" t="inlineStr">
        <is>
          <t>12LAB92CF101</t>
        </is>
      </c>
      <c r="D376" s="14" t="inlineStr">
        <is>
          <t>FW HP OTC  FITCA</t>
        </is>
      </c>
      <c r="E376" s="37" t="n">
        <v>46097</v>
      </c>
      <c r="F376" s="103" t="n">
        <v>-2486.4</v>
      </c>
      <c r="G376" s="103" t="n">
        <v>2486.4</v>
      </c>
      <c r="H376" s="103" t="n">
        <v>0</v>
      </c>
      <c r="I376" s="103" t="n">
        <v>250</v>
      </c>
      <c r="J376" s="4" t="inlineStr">
        <is>
          <t>mBar</t>
        </is>
      </c>
      <c r="K376" s="19" t="inlineStr">
        <is>
          <t>ROSEMOUNT</t>
        </is>
      </c>
      <c r="L376" s="19" t="inlineStr">
        <is>
          <t>3051CD</t>
        </is>
      </c>
      <c r="M376" s="19" t="n">
        <v>9816776</v>
      </c>
      <c r="N376" s="2">
        <f>IF(E376="","Waiting","Calibrated")</f>
        <v/>
      </c>
      <c r="O376" s="2" t="n"/>
      <c r="P376" s="2" t="n"/>
      <c r="Q376" s="2" t="n"/>
      <c r="R376" s="28" t="n"/>
      <c r="S376" s="28" t="n"/>
      <c r="T376" s="32" t="n"/>
    </row>
    <row r="377" ht="30" customFormat="1" customHeight="1" s="5">
      <c r="A377" s="17" t="n">
        <v>375</v>
      </c>
      <c r="B377" s="17" t="inlineStr">
        <is>
          <t>KIPP12</t>
        </is>
      </c>
      <c r="C377" s="2" t="inlineStr">
        <is>
          <t>12LAB92CF102</t>
        </is>
      </c>
      <c r="D377" s="14" t="inlineStr">
        <is>
          <t>FW HP OTC  FITCA</t>
        </is>
      </c>
      <c r="E377" s="37" t="n">
        <v>46097</v>
      </c>
      <c r="F377" s="103" t="n">
        <v>-2486.4</v>
      </c>
      <c r="G377" s="103" t="n">
        <v>2486.4</v>
      </c>
      <c r="H377" s="103" t="n">
        <v>0</v>
      </c>
      <c r="I377" s="103" t="n">
        <v>250</v>
      </c>
      <c r="J377" s="4" t="inlineStr">
        <is>
          <t>mBar</t>
        </is>
      </c>
      <c r="K377" s="19" t="inlineStr">
        <is>
          <t>ROSEMOUNT</t>
        </is>
      </c>
      <c r="L377" s="19" t="inlineStr">
        <is>
          <t>3051CD</t>
        </is>
      </c>
      <c r="M377" s="19" t="n">
        <v>9816777</v>
      </c>
      <c r="N377" s="2">
        <f>IF(E377="","Waiting","Calibrated")</f>
        <v/>
      </c>
      <c r="O377" s="2" t="n"/>
      <c r="P377" s="2" t="n"/>
      <c r="Q377" s="2" t="n"/>
      <c r="R377" s="28" t="n"/>
      <c r="S377" s="28" t="n"/>
      <c r="T377" s="32" t="n"/>
    </row>
    <row r="378" ht="30" customFormat="1" customHeight="1" s="5">
      <c r="A378" s="17" t="n">
        <v>376</v>
      </c>
      <c r="B378" s="17" t="n"/>
      <c r="C378" s="2" t="n"/>
      <c r="D378" s="14" t="n"/>
      <c r="E378" s="37" t="n"/>
      <c r="F378" s="103" t="n"/>
      <c r="G378" s="103" t="n"/>
      <c r="H378" s="103" t="n"/>
      <c r="I378" s="103" t="n"/>
      <c r="J378" s="4" t="n"/>
      <c r="K378" s="19" t="n"/>
      <c r="L378" s="19" t="n"/>
      <c r="M378" s="19" t="n"/>
      <c r="N378" s="2" t="n"/>
      <c r="O378" s="2" t="n"/>
      <c r="P378" s="2" t="n"/>
      <c r="Q378" s="2" t="n"/>
      <c r="R378" s="28" t="n"/>
      <c r="S378" s="28" t="n"/>
      <c r="T378" s="32" t="n"/>
    </row>
    <row r="379" ht="30" customFormat="1" customHeight="1" s="5">
      <c r="A379" s="17" t="n">
        <v>377</v>
      </c>
      <c r="B379" s="17" t="n"/>
      <c r="C379" s="2" t="n"/>
      <c r="D379" s="14" t="n"/>
      <c r="E379" s="37" t="n"/>
      <c r="F379" s="103" t="n"/>
      <c r="G379" s="103" t="n"/>
      <c r="H379" s="103" t="n"/>
      <c r="I379" s="103" t="n"/>
      <c r="J379" s="4" t="n"/>
      <c r="K379" s="19" t="n"/>
      <c r="L379" s="19" t="n"/>
      <c r="M379" s="19" t="n"/>
      <c r="N379" s="2" t="n"/>
      <c r="O379" s="2" t="n"/>
      <c r="P379" s="2" t="n"/>
      <c r="Q379" s="2" t="n"/>
      <c r="R379" s="28" t="n"/>
      <c r="S379" s="28" t="n"/>
      <c r="T379" s="32" t="n"/>
    </row>
    <row r="380" ht="30" customFormat="1" customHeight="1" s="5">
      <c r="A380" s="17" t="n">
        <v>378</v>
      </c>
      <c r="B380" s="17" t="n"/>
      <c r="C380" s="2" t="n"/>
      <c r="D380" s="14" t="n"/>
      <c r="E380" s="37" t="n"/>
      <c r="F380" s="103" t="n"/>
      <c r="G380" s="103" t="n"/>
      <c r="H380" s="103" t="n"/>
      <c r="I380" s="103" t="n"/>
      <c r="J380" s="4" t="n"/>
      <c r="K380" s="19" t="n"/>
      <c r="L380" s="19" t="n"/>
      <c r="M380" s="19" t="n"/>
      <c r="N380" s="2" t="n"/>
      <c r="O380" s="2" t="n"/>
      <c r="P380" s="2" t="n"/>
      <c r="Q380" s="2" t="n"/>
      <c r="R380" s="28" t="n"/>
      <c r="S380" s="28" t="n"/>
      <c r="T380" s="32" t="n"/>
    </row>
    <row r="381" ht="30" customFormat="1" customHeight="1" s="5">
      <c r="A381" s="17" t="n">
        <v>379</v>
      </c>
      <c r="B381" s="17" t="n"/>
      <c r="C381" s="2" t="n"/>
      <c r="D381" s="14" t="n"/>
      <c r="E381" s="37" t="n"/>
      <c r="F381" s="103" t="n"/>
      <c r="G381" s="103" t="n"/>
      <c r="H381" s="103" t="n"/>
      <c r="I381" s="103" t="n"/>
      <c r="J381" s="4" t="n"/>
      <c r="K381" s="19" t="n"/>
      <c r="L381" s="19" t="n"/>
      <c r="M381" s="19" t="n"/>
      <c r="N381" s="2" t="n"/>
      <c r="O381" s="2" t="n"/>
      <c r="P381" s="2" t="n"/>
      <c r="Q381" s="2" t="n"/>
      <c r="R381" s="28" t="n"/>
      <c r="S381" s="28" t="n"/>
      <c r="T381" s="32" t="n"/>
    </row>
    <row r="382" ht="30" customFormat="1" customHeight="1" s="5">
      <c r="A382" s="17" t="n">
        <v>380</v>
      </c>
      <c r="B382" s="17" t="n"/>
      <c r="C382" s="2" t="n"/>
      <c r="D382" s="14" t="n"/>
      <c r="E382" s="37" t="n"/>
      <c r="F382" s="103" t="n"/>
      <c r="G382" s="103" t="n"/>
      <c r="H382" s="103" t="n"/>
      <c r="I382" s="103" t="n"/>
      <c r="J382" s="4" t="n"/>
      <c r="K382" s="19" t="n"/>
      <c r="L382" s="19" t="n"/>
      <c r="M382" s="19" t="n"/>
      <c r="N382" s="2" t="n"/>
      <c r="O382" s="2" t="n"/>
      <c r="P382" s="2" t="n"/>
      <c r="Q382" s="2" t="n"/>
      <c r="R382" s="28" t="n"/>
      <c r="S382" s="28" t="n"/>
      <c r="T382" s="32" t="n"/>
    </row>
    <row r="383" ht="30" customFormat="1" customHeight="1" s="5">
      <c r="A383" s="17" t="n"/>
      <c r="B383" s="17" t="n"/>
      <c r="C383" s="2" t="n"/>
      <c r="D383" s="14" t="n"/>
      <c r="E383" s="37" t="n"/>
      <c r="F383" s="103" t="n"/>
      <c r="G383" s="103" t="n"/>
      <c r="H383" s="103" t="n"/>
      <c r="I383" s="103" t="n"/>
      <c r="J383" s="4" t="n"/>
      <c r="K383" s="19" t="n"/>
      <c r="L383" s="19" t="n"/>
      <c r="M383" s="19" t="n"/>
      <c r="N383" s="2" t="n"/>
      <c r="O383" s="2" t="n"/>
      <c r="P383" s="2" t="n"/>
      <c r="Q383" s="2" t="n"/>
      <c r="R383" s="28" t="n"/>
      <c r="S383" s="28" t="n"/>
      <c r="T383" s="32" t="n"/>
    </row>
    <row r="384" ht="30" customFormat="1" customHeight="1" s="5">
      <c r="A384" s="17" t="n"/>
      <c r="B384" s="17" t="n"/>
      <c r="C384" s="2" t="n"/>
      <c r="D384" s="14" t="n"/>
      <c r="E384" s="37" t="n"/>
      <c r="F384" s="103" t="n"/>
      <c r="G384" s="103" t="n"/>
      <c r="H384" s="103" t="n"/>
      <c r="I384" s="103" t="n"/>
      <c r="J384" s="4" t="n"/>
      <c r="K384" s="19" t="n"/>
      <c r="L384" s="19" t="n"/>
      <c r="M384" s="19" t="n"/>
      <c r="N384" s="2" t="n"/>
      <c r="O384" s="2" t="n"/>
      <c r="P384" s="2" t="n"/>
      <c r="Q384" s="2" t="n"/>
      <c r="R384" s="28" t="n"/>
      <c r="S384" s="28" t="n"/>
      <c r="T384" s="32" t="n"/>
    </row>
    <row r="385" ht="30" customFormat="1" customHeight="1" s="5">
      <c r="A385" s="17" t="n"/>
      <c r="B385" s="17" t="n"/>
      <c r="C385" s="2" t="n"/>
      <c r="D385" s="14" t="n"/>
      <c r="E385" s="37" t="n"/>
      <c r="F385" s="103" t="n"/>
      <c r="G385" s="103" t="n"/>
      <c r="H385" s="103" t="n"/>
      <c r="I385" s="103" t="n"/>
      <c r="J385" s="4" t="n"/>
      <c r="K385" s="19" t="n"/>
      <c r="L385" s="19" t="n"/>
      <c r="M385" s="19" t="n"/>
      <c r="N385" s="2" t="n"/>
      <c r="O385" s="2" t="n"/>
      <c r="P385" s="2" t="n"/>
      <c r="Q385" s="2" t="n"/>
      <c r="R385" s="28" t="n"/>
      <c r="S385" s="28" t="n"/>
      <c r="T385" s="32" t="n"/>
    </row>
    <row r="386" ht="30" customFormat="1" customHeight="1" s="5">
      <c r="A386" s="17" t="n"/>
      <c r="B386" s="17" t="n"/>
      <c r="C386" s="2" t="n"/>
      <c r="D386" s="14" t="n"/>
      <c r="E386" s="37" t="n"/>
      <c r="F386" s="103" t="n"/>
      <c r="G386" s="103" t="n"/>
      <c r="H386" s="103" t="n"/>
      <c r="I386" s="103" t="n"/>
      <c r="J386" s="4" t="n"/>
      <c r="K386" s="19" t="n"/>
      <c r="L386" s="19" t="n"/>
      <c r="M386" s="19" t="n"/>
      <c r="N386" s="2" t="n"/>
      <c r="O386" s="2" t="n"/>
      <c r="P386" s="2" t="n"/>
      <c r="Q386" s="2" t="n"/>
      <c r="R386" s="28" t="n"/>
      <c r="S386" s="28" t="n"/>
      <c r="T386" s="32" t="n"/>
    </row>
    <row r="387" ht="30" customFormat="1" customHeight="1" s="5">
      <c r="A387" s="17" t="n"/>
      <c r="B387" s="17" t="n"/>
      <c r="C387" s="2" t="n"/>
      <c r="D387" s="14" t="n"/>
      <c r="E387" s="37" t="n"/>
      <c r="F387" s="103" t="n"/>
      <c r="G387" s="103" t="n"/>
      <c r="H387" s="103" t="n"/>
      <c r="I387" s="103" t="n"/>
      <c r="J387" s="4" t="n"/>
      <c r="K387" s="19" t="n"/>
      <c r="L387" s="19" t="n"/>
      <c r="M387" s="19" t="n"/>
      <c r="N387" s="2" t="n"/>
      <c r="O387" s="2" t="n"/>
      <c r="P387" s="2" t="n"/>
      <c r="Q387" s="2" t="n"/>
      <c r="R387" s="28" t="n"/>
      <c r="S387" s="28" t="n"/>
      <c r="T387" s="32" t="n"/>
    </row>
    <row r="388" ht="30" customFormat="1" customHeight="1" s="5">
      <c r="A388" s="17" t="n"/>
      <c r="B388" s="17" t="n"/>
      <c r="C388" s="2" t="n"/>
      <c r="D388" s="14" t="n"/>
      <c r="E388" s="37" t="n"/>
      <c r="F388" s="103" t="n"/>
      <c r="G388" s="103" t="n"/>
      <c r="H388" s="103" t="n"/>
      <c r="I388" s="103" t="n"/>
      <c r="J388" s="4" t="n"/>
      <c r="K388" s="19" t="n"/>
      <c r="L388" s="19" t="n"/>
      <c r="M388" s="19" t="n"/>
      <c r="N388" s="2" t="n"/>
      <c r="O388" s="2" t="n"/>
      <c r="P388" s="2" t="n"/>
      <c r="Q388" s="2" t="n"/>
      <c r="R388" s="28" t="n"/>
      <c r="S388" s="28" t="n"/>
      <c r="T388" s="32" t="n"/>
    </row>
    <row r="389" ht="30" customFormat="1" customHeight="1" s="5">
      <c r="A389" s="17" t="n"/>
      <c r="B389" s="17" t="n"/>
      <c r="C389" s="2" t="n"/>
      <c r="D389" s="14" t="n"/>
      <c r="E389" s="37" t="n"/>
      <c r="F389" s="103" t="n"/>
      <c r="G389" s="103" t="n"/>
      <c r="H389" s="103" t="n"/>
      <c r="I389" s="103" t="n"/>
      <c r="J389" s="4" t="n"/>
      <c r="K389" s="19" t="n"/>
      <c r="L389" s="19" t="n"/>
      <c r="M389" s="19" t="n"/>
      <c r="N389" s="2" t="n"/>
      <c r="O389" s="2" t="n"/>
      <c r="P389" s="2" t="n"/>
      <c r="Q389" s="2" t="n"/>
      <c r="R389" s="28" t="n"/>
      <c r="S389" s="28" t="n"/>
      <c r="T389" s="32" t="n"/>
    </row>
    <row r="390" ht="30" customFormat="1" customHeight="1" s="5">
      <c r="A390" s="17" t="n"/>
      <c r="B390" s="17" t="n"/>
      <c r="C390" s="2" t="n"/>
      <c r="D390" s="14" t="n"/>
      <c r="E390" s="37" t="n"/>
      <c r="F390" s="103" t="n"/>
      <c r="G390" s="103" t="n"/>
      <c r="H390" s="103" t="n"/>
      <c r="I390" s="103" t="n"/>
      <c r="J390" s="4" t="n"/>
      <c r="K390" s="19" t="n"/>
      <c r="L390" s="19" t="n"/>
      <c r="M390" s="19" t="n"/>
      <c r="N390" s="2" t="n"/>
      <c r="O390" s="2" t="n"/>
      <c r="P390" s="2" t="n"/>
      <c r="Q390" s="2" t="n"/>
      <c r="R390" s="28" t="n"/>
      <c r="S390" s="28" t="n"/>
      <c r="T390" s="32" t="n"/>
    </row>
    <row r="391" ht="30" customFormat="1" customHeight="1" s="5">
      <c r="A391" s="17" t="n"/>
      <c r="B391" s="17" t="n"/>
      <c r="C391" s="2" t="n"/>
      <c r="D391" s="14" t="n"/>
      <c r="E391" s="37" t="n"/>
      <c r="F391" s="103" t="n"/>
      <c r="G391" s="103" t="n"/>
      <c r="H391" s="103" t="n"/>
      <c r="I391" s="103" t="n"/>
      <c r="J391" s="4" t="n"/>
      <c r="K391" s="19" t="n"/>
      <c r="L391" s="19" t="n"/>
      <c r="M391" s="19" t="n"/>
      <c r="N391" s="2" t="n"/>
      <c r="O391" s="2" t="n"/>
      <c r="P391" s="2" t="n"/>
      <c r="Q391" s="2" t="n"/>
      <c r="R391" s="28" t="n"/>
      <c r="S391" s="28" t="n"/>
      <c r="T391" s="32" t="n"/>
    </row>
    <row r="392" ht="30" customFormat="1" customHeight="1" s="5">
      <c r="A392" s="17" t="n"/>
      <c r="B392" s="17" t="n"/>
      <c r="C392" s="2" t="n"/>
      <c r="D392" s="14" t="n"/>
      <c r="E392" s="37" t="n"/>
      <c r="F392" s="103" t="n"/>
      <c r="G392" s="103" t="n"/>
      <c r="H392" s="103" t="n"/>
      <c r="I392" s="103" t="n"/>
      <c r="J392" s="4" t="n"/>
      <c r="K392" s="19" t="n"/>
      <c r="L392" s="19" t="n"/>
      <c r="M392" s="19" t="n"/>
      <c r="N392" s="2" t="n"/>
      <c r="O392" s="2" t="n"/>
      <c r="P392" s="2" t="n"/>
      <c r="Q392" s="2" t="n"/>
      <c r="R392" s="28" t="n"/>
      <c r="S392" s="28" t="n"/>
      <c r="T392" s="32" t="n"/>
    </row>
    <row r="393" ht="30" customFormat="1" customHeight="1" s="5">
      <c r="A393" s="17" t="n"/>
      <c r="B393" s="17" t="n"/>
      <c r="C393" s="2" t="n"/>
      <c r="D393" s="14" t="n"/>
      <c r="E393" s="37" t="n"/>
      <c r="F393" s="103" t="n"/>
      <c r="G393" s="103" t="n"/>
      <c r="H393" s="103" t="n"/>
      <c r="I393" s="103" t="n"/>
      <c r="J393" s="4" t="n"/>
      <c r="K393" s="19" t="n"/>
      <c r="L393" s="19" t="n"/>
      <c r="M393" s="19" t="n"/>
      <c r="N393" s="2" t="n"/>
      <c r="O393" s="2" t="n"/>
      <c r="P393" s="2" t="n"/>
      <c r="Q393" s="2" t="n"/>
      <c r="R393" s="28" t="n"/>
      <c r="S393" s="28" t="n"/>
      <c r="T393" s="32" t="n"/>
    </row>
    <row r="394" ht="30" customFormat="1" customHeight="1" s="5">
      <c r="A394" s="17" t="n"/>
      <c r="B394" s="17" t="n"/>
      <c r="C394" s="2" t="n"/>
      <c r="D394" s="14" t="n"/>
      <c r="E394" s="37" t="n"/>
      <c r="F394" s="103" t="n"/>
      <c r="G394" s="103" t="n"/>
      <c r="H394" s="103" t="n"/>
      <c r="I394" s="103" t="n"/>
      <c r="J394" s="4" t="n"/>
      <c r="K394" s="19" t="n"/>
      <c r="L394" s="19" t="n"/>
      <c r="M394" s="19" t="n"/>
      <c r="N394" s="2" t="n"/>
      <c r="O394" s="2" t="n"/>
      <c r="P394" s="2" t="n"/>
      <c r="Q394" s="2" t="n"/>
      <c r="R394" s="28" t="n"/>
      <c r="S394" s="28" t="n"/>
      <c r="T394" s="32" t="n"/>
    </row>
    <row r="395" ht="30" customFormat="1" customHeight="1" s="5">
      <c r="A395" s="17" t="n"/>
      <c r="B395" s="17" t="n"/>
      <c r="C395" s="2" t="n"/>
      <c r="D395" s="14" t="n"/>
      <c r="E395" s="37" t="n"/>
      <c r="F395" s="103" t="n"/>
      <c r="G395" s="103" t="n"/>
      <c r="H395" s="103" t="n"/>
      <c r="I395" s="103" t="n"/>
      <c r="J395" s="4" t="n"/>
      <c r="K395" s="19" t="n"/>
      <c r="L395" s="19" t="n"/>
      <c r="M395" s="19" t="n"/>
      <c r="N395" s="2" t="n"/>
      <c r="O395" s="2" t="n"/>
      <c r="P395" s="2" t="n"/>
      <c r="Q395" s="2" t="n"/>
      <c r="R395" s="28" t="n"/>
      <c r="S395" s="28" t="n"/>
      <c r="T395" s="32" t="n"/>
    </row>
    <row r="396" ht="30" customFormat="1" customHeight="1" s="5">
      <c r="A396" s="17" t="n"/>
      <c r="B396" s="17" t="n"/>
      <c r="C396" s="2" t="n"/>
      <c r="D396" s="14" t="n"/>
      <c r="E396" s="37" t="n"/>
      <c r="F396" s="103" t="n"/>
      <c r="G396" s="103" t="n"/>
      <c r="H396" s="103" t="n"/>
      <c r="I396" s="103" t="n"/>
      <c r="J396" s="4" t="n"/>
      <c r="K396" s="19" t="n"/>
      <c r="L396" s="19" t="n"/>
      <c r="M396" s="19" t="n"/>
      <c r="N396" s="2" t="n"/>
      <c r="O396" s="2" t="n"/>
      <c r="P396" s="2" t="n"/>
      <c r="Q396" s="2" t="n"/>
      <c r="R396" s="28" t="n"/>
      <c r="S396" s="28" t="n"/>
      <c r="T396" s="32" t="n"/>
    </row>
    <row r="397" ht="30" customFormat="1" customHeight="1" s="5">
      <c r="A397" s="17" t="n"/>
      <c r="B397" s="17" t="n"/>
      <c r="C397" s="2" t="n"/>
      <c r="D397" s="14" t="n"/>
      <c r="E397" s="37" t="n"/>
      <c r="F397" s="103" t="n"/>
      <c r="G397" s="103" t="n"/>
      <c r="H397" s="103" t="n"/>
      <c r="I397" s="103" t="n"/>
      <c r="J397" s="4" t="n"/>
      <c r="K397" s="19" t="n"/>
      <c r="L397" s="19" t="n"/>
      <c r="M397" s="19" t="n"/>
      <c r="N397" s="2" t="n"/>
      <c r="O397" s="2" t="n"/>
      <c r="P397" s="2" t="n"/>
      <c r="Q397" s="2" t="n"/>
      <c r="R397" s="28" t="n"/>
      <c r="S397" s="28" t="n"/>
      <c r="T397" s="32" t="n"/>
    </row>
    <row r="398" ht="30" customFormat="1" customHeight="1" s="5">
      <c r="A398" s="17" t="n"/>
      <c r="B398" s="17" t="n"/>
      <c r="C398" s="2" t="n"/>
      <c r="D398" s="14" t="n"/>
      <c r="E398" s="37" t="n"/>
      <c r="F398" s="103" t="n"/>
      <c r="G398" s="103" t="n"/>
      <c r="H398" s="103" t="n"/>
      <c r="I398" s="103" t="n"/>
      <c r="J398" s="4" t="n"/>
      <c r="K398" s="19" t="n"/>
      <c r="L398" s="19" t="n"/>
      <c r="M398" s="19" t="n"/>
      <c r="N398" s="2" t="n"/>
      <c r="O398" s="2" t="n"/>
      <c r="P398" s="2" t="n"/>
      <c r="Q398" s="2" t="n"/>
      <c r="R398" s="28" t="n"/>
      <c r="S398" s="28" t="n"/>
      <c r="T398" s="32" t="n"/>
    </row>
    <row r="399" ht="30" customFormat="1" customHeight="1" s="5">
      <c r="A399" s="17" t="n"/>
      <c r="B399" s="17" t="n"/>
      <c r="C399" s="2" t="n"/>
      <c r="D399" s="14" t="n"/>
      <c r="E399" s="37" t="n"/>
      <c r="F399" s="103" t="n"/>
      <c r="G399" s="103" t="n"/>
      <c r="H399" s="103" t="n"/>
      <c r="I399" s="103" t="n"/>
      <c r="J399" s="4" t="n"/>
      <c r="K399" s="19" t="n"/>
      <c r="L399" s="19" t="n"/>
      <c r="M399" s="19" t="n"/>
      <c r="N399" s="2" t="n"/>
      <c r="O399" s="2" t="n"/>
      <c r="P399" s="2" t="n"/>
      <c r="Q399" s="2" t="n"/>
      <c r="R399" s="28" t="n"/>
      <c r="S399" s="28" t="n"/>
      <c r="T399" s="32" t="n"/>
    </row>
    <row r="400" ht="30" customFormat="1" customHeight="1" s="5">
      <c r="A400" s="17" t="n"/>
      <c r="B400" s="17" t="n"/>
      <c r="C400" s="2" t="n"/>
      <c r="D400" s="14" t="n"/>
      <c r="E400" s="37" t="n"/>
      <c r="F400" s="103" t="n"/>
      <c r="G400" s="103" t="n"/>
      <c r="H400" s="103" t="n"/>
      <c r="I400" s="103" t="n"/>
      <c r="J400" s="4" t="n"/>
      <c r="K400" s="19" t="n"/>
      <c r="L400" s="19" t="n"/>
      <c r="M400" s="19" t="n"/>
      <c r="N400" s="2" t="n"/>
      <c r="O400" s="2" t="n"/>
      <c r="P400" s="2" t="n"/>
      <c r="Q400" s="2" t="n"/>
      <c r="R400" s="28" t="n"/>
      <c r="S400" s="28" t="n"/>
      <c r="T400" s="32" t="n"/>
    </row>
    <row r="401" ht="30" customFormat="1" customHeight="1" s="5">
      <c r="A401" s="17" t="n"/>
      <c r="B401" s="17" t="n"/>
      <c r="C401" s="2" t="n"/>
      <c r="D401" s="14" t="n"/>
      <c r="E401" s="37" t="n"/>
      <c r="F401" s="103" t="n"/>
      <c r="G401" s="103" t="n"/>
      <c r="H401" s="103" t="n"/>
      <c r="I401" s="103" t="n"/>
      <c r="J401" s="4" t="n"/>
      <c r="K401" s="19" t="n"/>
      <c r="L401" s="19" t="n"/>
      <c r="M401" s="19" t="n"/>
      <c r="N401" s="2" t="n"/>
      <c r="O401" s="2" t="n"/>
      <c r="P401" s="2" t="n"/>
      <c r="Q401" s="2" t="n"/>
      <c r="R401" s="28" t="n"/>
      <c r="S401" s="28" t="n"/>
      <c r="T401" s="32" t="n"/>
    </row>
    <row r="402" ht="30" customFormat="1" customHeight="1" s="5">
      <c r="A402" s="17" t="n"/>
      <c r="B402" s="17" t="n"/>
      <c r="C402" s="2" t="n"/>
      <c r="D402" s="14" t="n"/>
      <c r="E402" s="37" t="n"/>
      <c r="F402" s="103" t="n"/>
      <c r="G402" s="103" t="n"/>
      <c r="H402" s="103" t="n"/>
      <c r="I402" s="103" t="n"/>
      <c r="J402" s="4" t="n"/>
      <c r="K402" s="19" t="n"/>
      <c r="L402" s="19" t="n"/>
      <c r="M402" s="19" t="n"/>
      <c r="N402" s="2" t="n"/>
      <c r="O402" s="2" t="n"/>
      <c r="P402" s="2" t="n"/>
      <c r="Q402" s="2" t="n"/>
      <c r="R402" s="28" t="n"/>
      <c r="S402" s="28" t="n"/>
      <c r="T402" s="32" t="n"/>
    </row>
    <row r="403" ht="30" customFormat="1" customHeight="1" s="5">
      <c r="A403" s="17" t="n"/>
      <c r="B403" s="17" t="n"/>
      <c r="C403" s="2" t="n"/>
      <c r="D403" s="14" t="n"/>
      <c r="E403" s="37" t="n"/>
      <c r="F403" s="103" t="n"/>
      <c r="G403" s="103" t="n"/>
      <c r="H403" s="103" t="n"/>
      <c r="I403" s="103" t="n"/>
      <c r="J403" s="4" t="n"/>
      <c r="K403" s="19" t="n"/>
      <c r="L403" s="19" t="n"/>
      <c r="M403" s="19" t="n"/>
      <c r="N403" s="2" t="n"/>
      <c r="O403" s="2" t="n"/>
      <c r="P403" s="2" t="n"/>
      <c r="Q403" s="2" t="n"/>
      <c r="R403" s="28" t="n"/>
      <c r="S403" s="28" t="n"/>
      <c r="T403" s="32" t="n"/>
    </row>
    <row r="404" ht="30" customFormat="1" customHeight="1" s="5">
      <c r="A404" s="17" t="n"/>
      <c r="B404" s="17" t="n"/>
      <c r="C404" s="2" t="n"/>
      <c r="D404" s="14" t="n"/>
      <c r="E404" s="37" t="n"/>
      <c r="F404" s="103" t="n"/>
      <c r="G404" s="103" t="n"/>
      <c r="H404" s="103" t="n"/>
      <c r="I404" s="103" t="n"/>
      <c r="J404" s="4" t="n"/>
      <c r="K404" s="19" t="n"/>
      <c r="L404" s="19" t="n"/>
      <c r="M404" s="19" t="n"/>
      <c r="N404" s="2" t="n"/>
      <c r="O404" s="2" t="n"/>
      <c r="P404" s="2" t="n"/>
      <c r="Q404" s="2" t="n"/>
      <c r="R404" s="28" t="n"/>
      <c r="S404" s="28" t="n"/>
      <c r="T404" s="32" t="n"/>
    </row>
    <row r="405" ht="30" customFormat="1" customHeight="1" s="5">
      <c r="A405" s="17" t="n"/>
      <c r="B405" s="17" t="n"/>
      <c r="C405" s="2" t="n"/>
      <c r="D405" s="14" t="n"/>
      <c r="E405" s="37" t="n"/>
      <c r="F405" s="103" t="n"/>
      <c r="G405" s="103" t="n"/>
      <c r="H405" s="103" t="n"/>
      <c r="I405" s="103" t="n"/>
      <c r="J405" s="4" t="n"/>
      <c r="K405" s="19" t="n"/>
      <c r="L405" s="19" t="n"/>
      <c r="M405" s="19" t="n"/>
      <c r="N405" s="2" t="n"/>
      <c r="O405" s="2" t="n"/>
      <c r="P405" s="2" t="n"/>
      <c r="Q405" s="2" t="n"/>
      <c r="R405" s="28" t="n"/>
      <c r="S405" s="28" t="n"/>
      <c r="T405" s="32" t="n"/>
    </row>
    <row r="406" ht="30" customFormat="1" customHeight="1" s="5">
      <c r="A406" s="17" t="n"/>
      <c r="B406" s="17" t="n"/>
      <c r="C406" s="2" t="n"/>
      <c r="D406" s="14" t="n"/>
      <c r="E406" s="37" t="n"/>
      <c r="F406" s="103" t="n"/>
      <c r="G406" s="103" t="n"/>
      <c r="H406" s="103" t="n"/>
      <c r="I406" s="103" t="n"/>
      <c r="J406" s="4" t="n"/>
      <c r="K406" s="19" t="n"/>
      <c r="L406" s="19" t="n"/>
      <c r="M406" s="19" t="n"/>
      <c r="N406" s="2" t="n"/>
      <c r="O406" s="2" t="n"/>
      <c r="P406" s="2" t="n"/>
      <c r="Q406" s="2" t="n"/>
      <c r="R406" s="28" t="n"/>
      <c r="S406" s="28" t="n"/>
      <c r="T406" s="32" t="n"/>
    </row>
    <row r="407" ht="30" customFormat="1" customHeight="1" s="5">
      <c r="A407" s="17" t="n"/>
      <c r="B407" s="17" t="n"/>
      <c r="C407" s="2" t="n"/>
      <c r="D407" s="14" t="n"/>
      <c r="E407" s="37" t="n"/>
      <c r="F407" s="103" t="n"/>
      <c r="G407" s="103" t="n"/>
      <c r="H407" s="103" t="n"/>
      <c r="I407" s="103" t="n"/>
      <c r="J407" s="4" t="n"/>
      <c r="K407" s="19" t="n"/>
      <c r="L407" s="19" t="n"/>
      <c r="M407" s="19" t="n"/>
      <c r="N407" s="2" t="n"/>
      <c r="O407" s="2" t="n"/>
      <c r="P407" s="2" t="n"/>
      <c r="Q407" s="2" t="n"/>
      <c r="R407" s="28" t="n"/>
      <c r="S407" s="28" t="n"/>
      <c r="T407" s="32" t="n"/>
    </row>
    <row r="408" ht="30" customFormat="1" customHeight="1" s="5">
      <c r="A408" s="17" t="n"/>
      <c r="B408" s="17" t="n"/>
      <c r="C408" s="2" t="n"/>
      <c r="D408" s="14" t="n"/>
      <c r="E408" s="37" t="n"/>
      <c r="F408" s="103" t="n"/>
      <c r="G408" s="103" t="n"/>
      <c r="H408" s="103" t="n"/>
      <c r="I408" s="103" t="n"/>
      <c r="J408" s="4" t="n"/>
      <c r="K408" s="19" t="n"/>
      <c r="L408" s="19" t="n"/>
      <c r="M408" s="19" t="n"/>
      <c r="N408" s="2" t="n"/>
      <c r="O408" s="2" t="n"/>
      <c r="P408" s="2" t="n"/>
      <c r="Q408" s="2" t="n"/>
      <c r="R408" s="28" t="n"/>
      <c r="S408" s="28" t="n"/>
      <c r="T408" s="32" t="n"/>
    </row>
    <row r="409" ht="30" customFormat="1" customHeight="1" s="5">
      <c r="A409" s="17" t="n"/>
      <c r="B409" s="17" t="n"/>
      <c r="C409" s="2" t="n"/>
      <c r="D409" s="14" t="n"/>
      <c r="E409" s="37" t="n"/>
      <c r="F409" s="103" t="n"/>
      <c r="G409" s="103" t="n"/>
      <c r="H409" s="103" t="n"/>
      <c r="I409" s="103" t="n"/>
      <c r="J409" s="4" t="n"/>
      <c r="K409" s="19" t="n"/>
      <c r="L409" s="19" t="n"/>
      <c r="M409" s="19" t="n"/>
      <c r="N409" s="2" t="n"/>
      <c r="O409" s="2" t="n"/>
      <c r="P409" s="2" t="n"/>
      <c r="Q409" s="2" t="n"/>
      <c r="R409" s="28" t="n"/>
      <c r="S409" s="28" t="n"/>
      <c r="T409" s="32" t="n"/>
    </row>
    <row r="410" ht="30" customFormat="1" customHeight="1" s="5">
      <c r="A410" s="17" t="n"/>
      <c r="B410" s="17" t="n"/>
      <c r="C410" s="2" t="n"/>
      <c r="D410" s="14" t="n"/>
      <c r="E410" s="37" t="n"/>
      <c r="F410" s="103" t="n"/>
      <c r="G410" s="103" t="n"/>
      <c r="H410" s="103" t="n"/>
      <c r="I410" s="103" t="n"/>
      <c r="J410" s="4" t="n"/>
      <c r="K410" s="19" t="n"/>
      <c r="L410" s="19" t="n"/>
      <c r="M410" s="19" t="n"/>
      <c r="N410" s="2" t="n"/>
      <c r="O410" s="2" t="n"/>
      <c r="P410" s="2" t="n"/>
      <c r="Q410" s="2" t="n"/>
      <c r="R410" s="28" t="n"/>
      <c r="S410" s="28" t="n"/>
      <c r="T410" s="32" t="n"/>
    </row>
    <row r="411" ht="30" customFormat="1" customHeight="1" s="5">
      <c r="A411" s="17" t="n"/>
      <c r="B411" s="17" t="n"/>
      <c r="C411" s="2" t="n"/>
      <c r="D411" s="14" t="n"/>
      <c r="E411" s="37" t="n"/>
      <c r="F411" s="103" t="n"/>
      <c r="G411" s="103" t="n"/>
      <c r="H411" s="103" t="n"/>
      <c r="I411" s="103" t="n"/>
      <c r="J411" s="4" t="n"/>
      <c r="K411" s="19" t="n"/>
      <c r="L411" s="19" t="n"/>
      <c r="M411" s="19" t="n"/>
      <c r="N411" s="2" t="n"/>
      <c r="O411" s="2" t="n"/>
      <c r="P411" s="2" t="n"/>
      <c r="Q411" s="2" t="n"/>
      <c r="R411" s="28" t="n"/>
      <c r="S411" s="28" t="n"/>
      <c r="T411" s="32" t="n"/>
    </row>
    <row r="412" ht="30" customFormat="1" customHeight="1" s="5">
      <c r="A412" s="17" t="n"/>
      <c r="B412" s="17" t="n"/>
      <c r="C412" s="2" t="n"/>
      <c r="D412" s="14" t="n"/>
      <c r="E412" s="37" t="n"/>
      <c r="F412" s="103" t="n"/>
      <c r="G412" s="103" t="n"/>
      <c r="H412" s="103" t="n"/>
      <c r="I412" s="103" t="n"/>
      <c r="J412" s="4" t="n"/>
      <c r="K412" s="19" t="n"/>
      <c r="L412" s="19" t="n"/>
      <c r="M412" s="19" t="n"/>
      <c r="N412" s="2" t="n"/>
      <c r="O412" s="2" t="n"/>
      <c r="P412" s="2" t="n"/>
      <c r="Q412" s="2" t="n"/>
      <c r="R412" s="28" t="n"/>
      <c r="S412" s="28" t="n"/>
      <c r="T412" s="32" t="n"/>
    </row>
    <row r="413" ht="30" customFormat="1" customHeight="1" s="5">
      <c r="A413" s="17" t="n"/>
      <c r="B413" s="17" t="n"/>
      <c r="C413" s="2" t="n"/>
      <c r="D413" s="14" t="n"/>
      <c r="E413" s="37" t="n"/>
      <c r="F413" s="103" t="n"/>
      <c r="G413" s="103" t="n"/>
      <c r="H413" s="103" t="n"/>
      <c r="I413" s="103" t="n"/>
      <c r="J413" s="4" t="n"/>
      <c r="K413" s="19" t="n"/>
      <c r="L413" s="19" t="n"/>
      <c r="M413" s="19" t="n"/>
      <c r="N413" s="2" t="n"/>
      <c r="O413" s="2" t="n"/>
      <c r="P413" s="2" t="n"/>
      <c r="Q413" s="2" t="n"/>
      <c r="R413" s="28" t="n"/>
      <c r="S413" s="28" t="n"/>
      <c r="T413" s="32" t="n"/>
    </row>
    <row r="414" ht="30" customFormat="1" customHeight="1" s="5">
      <c r="A414" s="17" t="n"/>
      <c r="B414" s="17" t="n"/>
      <c r="C414" s="2" t="n"/>
      <c r="D414" s="14" t="n"/>
      <c r="E414" s="37" t="n"/>
      <c r="F414" s="103" t="n"/>
      <c r="G414" s="103" t="n"/>
      <c r="H414" s="103" t="n"/>
      <c r="I414" s="103" t="n"/>
      <c r="J414" s="4" t="n"/>
      <c r="K414" s="19" t="n"/>
      <c r="L414" s="19" t="n"/>
      <c r="M414" s="19" t="n"/>
      <c r="N414" s="2" t="n"/>
      <c r="O414" s="2" t="n"/>
      <c r="P414" s="2" t="n"/>
      <c r="Q414" s="2" t="n"/>
      <c r="R414" s="28" t="n"/>
      <c r="S414" s="28" t="n"/>
      <c r="T414" s="32" t="n"/>
    </row>
    <row r="415" ht="30" customFormat="1" customHeight="1" s="5">
      <c r="A415" s="17" t="n"/>
      <c r="B415" s="17" t="n"/>
      <c r="C415" s="2" t="n"/>
      <c r="D415" s="14" t="n"/>
      <c r="E415" s="37" t="n"/>
      <c r="F415" s="103" t="n"/>
      <c r="G415" s="103" t="n"/>
      <c r="H415" s="103" t="n"/>
      <c r="I415" s="103" t="n"/>
      <c r="J415" s="4" t="n"/>
      <c r="K415" s="19" t="n"/>
      <c r="L415" s="19" t="n"/>
      <c r="M415" s="19" t="n"/>
      <c r="N415" s="2" t="n"/>
      <c r="O415" s="2" t="n"/>
      <c r="P415" s="2" t="n"/>
      <c r="Q415" s="2" t="n"/>
      <c r="R415" s="28" t="n"/>
      <c r="S415" s="28" t="n"/>
      <c r="T415" s="32" t="n"/>
    </row>
    <row r="416" ht="30" customFormat="1" customHeight="1" s="5">
      <c r="A416" s="17" t="n"/>
      <c r="B416" s="17" t="n"/>
      <c r="C416" s="2" t="n"/>
      <c r="D416" s="14" t="n"/>
      <c r="E416" s="37" t="n"/>
      <c r="F416" s="103" t="n"/>
      <c r="G416" s="103" t="n"/>
      <c r="H416" s="103" t="n"/>
      <c r="I416" s="103" t="n"/>
      <c r="J416" s="4" t="n"/>
      <c r="K416" s="19" t="n"/>
      <c r="L416" s="19" t="n"/>
      <c r="M416" s="19" t="n"/>
      <c r="N416" s="2" t="n"/>
      <c r="O416" s="2" t="n"/>
      <c r="P416" s="2" t="n"/>
      <c r="Q416" s="2" t="n"/>
      <c r="R416" s="28" t="n"/>
      <c r="S416" s="28" t="n"/>
      <c r="T416" s="32" t="n"/>
    </row>
    <row r="417" ht="30" customFormat="1" customHeight="1" s="5">
      <c r="A417" s="17" t="n"/>
      <c r="B417" s="17" t="n"/>
      <c r="C417" s="2" t="n"/>
      <c r="D417" s="14" t="n"/>
      <c r="E417" s="37" t="n"/>
      <c r="F417" s="103" t="n"/>
      <c r="G417" s="103" t="n"/>
      <c r="H417" s="103" t="n"/>
      <c r="I417" s="103" t="n"/>
      <c r="J417" s="4" t="n"/>
      <c r="K417" s="19" t="n"/>
      <c r="L417" s="19" t="n"/>
      <c r="M417" s="19" t="n"/>
      <c r="N417" s="2" t="n"/>
      <c r="O417" s="2" t="n"/>
      <c r="P417" s="2" t="n"/>
      <c r="Q417" s="2" t="n"/>
      <c r="R417" s="28" t="n"/>
      <c r="S417" s="28" t="n"/>
      <c r="T417" s="32" t="n"/>
    </row>
    <row r="418" ht="30" customFormat="1" customHeight="1" s="5">
      <c r="A418" s="17" t="n"/>
      <c r="B418" s="17" t="n"/>
      <c r="C418" s="2" t="n"/>
      <c r="D418" s="14" t="n"/>
      <c r="E418" s="37" t="n"/>
      <c r="F418" s="103" t="n"/>
      <c r="G418" s="103" t="n"/>
      <c r="H418" s="103" t="n"/>
      <c r="I418" s="103" t="n"/>
      <c r="J418" s="4" t="n"/>
      <c r="K418" s="19" t="n"/>
      <c r="L418" s="19" t="n"/>
      <c r="M418" s="19" t="n"/>
      <c r="N418" s="2" t="n"/>
      <c r="O418" s="2" t="n"/>
      <c r="P418" s="2" t="n"/>
      <c r="Q418" s="2" t="n"/>
      <c r="R418" s="28" t="n"/>
      <c r="S418" s="28" t="n"/>
      <c r="T418" s="32" t="n"/>
    </row>
    <row r="419" ht="30" customFormat="1" customHeight="1" s="5">
      <c r="A419" s="17" t="n"/>
      <c r="B419" s="17" t="n"/>
      <c r="C419" s="2" t="n"/>
      <c r="D419" s="14" t="n"/>
      <c r="E419" s="37" t="n"/>
      <c r="F419" s="103" t="n"/>
      <c r="G419" s="103" t="n"/>
      <c r="H419" s="103" t="n"/>
      <c r="I419" s="103" t="n"/>
      <c r="J419" s="4" t="n"/>
      <c r="K419" s="19" t="n"/>
      <c r="L419" s="19" t="n"/>
      <c r="M419" s="19" t="n"/>
      <c r="N419" s="2" t="n"/>
      <c r="O419" s="2" t="n"/>
      <c r="P419" s="2" t="n"/>
      <c r="Q419" s="2" t="n"/>
      <c r="R419" s="28" t="n"/>
      <c r="S419" s="28" t="n"/>
      <c r="T419" s="32" t="n"/>
    </row>
    <row r="420" ht="30" customFormat="1" customHeight="1" s="5">
      <c r="A420" s="17" t="n"/>
      <c r="B420" s="17" t="n"/>
      <c r="C420" s="2" t="n"/>
      <c r="D420" s="14" t="n"/>
      <c r="E420" s="37" t="n"/>
      <c r="F420" s="103" t="n"/>
      <c r="G420" s="103" t="n"/>
      <c r="H420" s="103" t="n"/>
      <c r="I420" s="103" t="n"/>
      <c r="J420" s="4" t="n"/>
      <c r="K420" s="19" t="n"/>
      <c r="L420" s="19" t="n"/>
      <c r="M420" s="19" t="n"/>
      <c r="N420" s="2" t="n"/>
      <c r="O420" s="2" t="n"/>
      <c r="P420" s="2" t="n"/>
      <c r="Q420" s="2" t="n"/>
      <c r="R420" s="28" t="n"/>
      <c r="S420" s="28" t="n"/>
      <c r="T420" s="32" t="n"/>
    </row>
    <row r="421" ht="30" customFormat="1" customHeight="1" s="5">
      <c r="A421" s="17" t="n"/>
      <c r="B421" s="17" t="n"/>
      <c r="C421" s="2" t="n"/>
      <c r="D421" s="14" t="n"/>
      <c r="E421" s="37" t="n"/>
      <c r="F421" s="103" t="n"/>
      <c r="G421" s="103" t="n"/>
      <c r="H421" s="103" t="n"/>
      <c r="I421" s="103" t="n"/>
      <c r="J421" s="4" t="n"/>
      <c r="K421" s="19" t="n"/>
      <c r="L421" s="19" t="n"/>
      <c r="M421" s="19" t="n"/>
      <c r="N421" s="2" t="n"/>
      <c r="O421" s="2" t="n"/>
      <c r="P421" s="2" t="n"/>
      <c r="Q421" s="2" t="n"/>
      <c r="R421" s="28" t="n"/>
      <c r="S421" s="28" t="n"/>
      <c r="T421" s="32" t="n"/>
    </row>
    <row r="422" ht="30" customFormat="1" customHeight="1" s="5">
      <c r="A422" s="17" t="n"/>
      <c r="B422" s="17" t="n"/>
      <c r="C422" s="2" t="n"/>
      <c r="D422" s="14" t="n"/>
      <c r="E422" s="37" t="n"/>
      <c r="F422" s="103" t="n"/>
      <c r="G422" s="103" t="n"/>
      <c r="H422" s="103" t="n"/>
      <c r="I422" s="103" t="n"/>
      <c r="J422" s="4" t="n"/>
      <c r="K422" s="19" t="n"/>
      <c r="L422" s="19" t="n"/>
      <c r="M422" s="19" t="n"/>
      <c r="N422" s="2" t="n"/>
      <c r="O422" s="2" t="n"/>
      <c r="P422" s="2" t="n"/>
      <c r="Q422" s="2" t="n"/>
      <c r="R422" s="28" t="n"/>
      <c r="S422" s="28" t="n"/>
      <c r="T422" s="32" t="n"/>
    </row>
    <row r="423" ht="30" customFormat="1" customHeight="1" s="5">
      <c r="A423" s="17" t="n"/>
      <c r="B423" s="17" t="n"/>
      <c r="C423" s="2" t="n"/>
      <c r="D423" s="14" t="n"/>
      <c r="E423" s="37" t="n"/>
      <c r="F423" s="103" t="n"/>
      <c r="G423" s="103" t="n"/>
      <c r="H423" s="103" t="n"/>
      <c r="I423" s="103" t="n"/>
      <c r="J423" s="4" t="n"/>
      <c r="K423" s="19" t="n"/>
      <c r="L423" s="19" t="n"/>
      <c r="M423" s="19" t="n"/>
      <c r="N423" s="2" t="n"/>
      <c r="O423" s="2" t="n"/>
      <c r="P423" s="2" t="n"/>
      <c r="Q423" s="2" t="n"/>
      <c r="R423" s="28" t="n"/>
      <c r="S423" s="28" t="n"/>
      <c r="T423" s="32" t="n"/>
    </row>
    <row r="424" ht="30" customFormat="1" customHeight="1" s="5">
      <c r="A424" s="17" t="n"/>
      <c r="B424" s="17" t="n"/>
      <c r="C424" s="2" t="n"/>
      <c r="D424" s="14" t="n"/>
      <c r="E424" s="37" t="n"/>
      <c r="F424" s="103" t="n"/>
      <c r="G424" s="103" t="n"/>
      <c r="H424" s="103" t="n"/>
      <c r="I424" s="103" t="n"/>
      <c r="J424" s="4" t="n"/>
      <c r="K424" s="19" t="n"/>
      <c r="L424" s="19" t="n"/>
      <c r="M424" s="19" t="n"/>
      <c r="N424" s="2" t="n"/>
      <c r="O424" s="2" t="n"/>
      <c r="P424" s="2" t="n"/>
      <c r="Q424" s="2" t="n"/>
      <c r="R424" s="28" t="n"/>
      <c r="S424" s="28" t="n"/>
      <c r="T424" s="32" t="n"/>
    </row>
    <row r="425" ht="30" customFormat="1" customHeight="1" s="5">
      <c r="A425" s="17" t="n"/>
      <c r="B425" s="17" t="n"/>
      <c r="C425" s="2" t="n"/>
      <c r="D425" s="14" t="n"/>
      <c r="E425" s="37" t="n"/>
      <c r="F425" s="103" t="n"/>
      <c r="G425" s="103" t="n"/>
      <c r="H425" s="103" t="n"/>
      <c r="I425" s="103" t="n"/>
      <c r="J425" s="4" t="n"/>
      <c r="K425" s="19" t="n"/>
      <c r="L425" s="19" t="n"/>
      <c r="M425" s="19" t="n"/>
      <c r="N425" s="2" t="n"/>
      <c r="O425" s="2" t="n"/>
      <c r="P425" s="2" t="n"/>
      <c r="Q425" s="2" t="n"/>
      <c r="R425" s="28" t="n"/>
      <c r="S425" s="28" t="n"/>
      <c r="T425" s="32" t="n"/>
    </row>
    <row r="426" ht="30" customFormat="1" customHeight="1" s="5">
      <c r="A426" s="17" t="n"/>
      <c r="B426" s="17" t="n"/>
      <c r="C426" s="2" t="n"/>
      <c r="D426" s="14" t="n"/>
      <c r="E426" s="37" t="n"/>
      <c r="F426" s="103" t="n"/>
      <c r="G426" s="103" t="n"/>
      <c r="H426" s="103" t="n"/>
      <c r="I426" s="103" t="n"/>
      <c r="J426" s="4" t="n"/>
      <c r="K426" s="19" t="n"/>
      <c r="L426" s="19" t="n"/>
      <c r="M426" s="19" t="n"/>
      <c r="N426" s="2" t="n"/>
      <c r="O426" s="2" t="n"/>
      <c r="P426" s="2" t="n"/>
      <c r="Q426" s="2" t="n"/>
      <c r="R426" s="28" t="n"/>
      <c r="S426" s="28" t="n"/>
      <c r="T426" s="32" t="n"/>
    </row>
    <row r="427" ht="30" customFormat="1" customHeight="1" s="5">
      <c r="A427" s="17" t="n"/>
      <c r="B427" s="17" t="n"/>
      <c r="C427" s="2" t="n"/>
      <c r="D427" s="14" t="n"/>
      <c r="E427" s="37" t="n"/>
      <c r="F427" s="103" t="n"/>
      <c r="G427" s="103" t="n"/>
      <c r="H427" s="103" t="n"/>
      <c r="I427" s="103" t="n"/>
      <c r="J427" s="4" t="n"/>
      <c r="K427" s="19" t="n"/>
      <c r="L427" s="19" t="n"/>
      <c r="M427" s="19" t="n"/>
      <c r="N427" s="2" t="n"/>
      <c r="O427" s="2" t="n"/>
      <c r="P427" s="2" t="n"/>
      <c r="Q427" s="2" t="n"/>
      <c r="R427" s="28" t="n"/>
      <c r="S427" s="28" t="n"/>
      <c r="T427" s="32" t="n"/>
    </row>
    <row r="428" ht="30" customFormat="1" customHeight="1" s="5">
      <c r="A428" s="17" t="n"/>
      <c r="B428" s="17" t="n"/>
      <c r="C428" s="2" t="n"/>
      <c r="D428" s="14" t="n"/>
      <c r="E428" s="37" t="n"/>
      <c r="F428" s="103" t="n"/>
      <c r="G428" s="103" t="n"/>
      <c r="H428" s="103" t="n"/>
      <c r="I428" s="103" t="n"/>
      <c r="J428" s="4" t="n"/>
      <c r="K428" s="19" t="n"/>
      <c r="L428" s="19" t="n"/>
      <c r="M428" s="19" t="n"/>
      <c r="N428" s="2" t="n"/>
      <c r="O428" s="2" t="n"/>
      <c r="P428" s="2" t="n"/>
      <c r="Q428" s="2" t="n"/>
      <c r="R428" s="28" t="n"/>
      <c r="S428" s="28" t="n"/>
      <c r="T428" s="32" t="n"/>
    </row>
    <row r="429" ht="30" customFormat="1" customHeight="1" s="5">
      <c r="A429" s="17" t="n"/>
      <c r="B429" s="17" t="n"/>
      <c r="C429" s="2" t="n"/>
      <c r="D429" s="14" t="n"/>
      <c r="E429" s="37" t="n"/>
      <c r="F429" s="103" t="n"/>
      <c r="G429" s="103" t="n"/>
      <c r="H429" s="103" t="n"/>
      <c r="I429" s="103" t="n"/>
      <c r="J429" s="4" t="n"/>
      <c r="K429" s="19" t="n"/>
      <c r="L429" s="19" t="n"/>
      <c r="M429" s="19" t="n"/>
      <c r="N429" s="2" t="n"/>
      <c r="O429" s="2" t="n"/>
      <c r="P429" s="2" t="n"/>
      <c r="Q429" s="2" t="n"/>
      <c r="R429" s="28" t="n"/>
      <c r="S429" s="28" t="n"/>
      <c r="T429" s="32" t="n"/>
    </row>
    <row r="430" ht="30" customFormat="1" customHeight="1" s="5">
      <c r="A430" s="17" t="n"/>
      <c r="B430" s="17" t="n"/>
      <c r="C430" s="2" t="n"/>
      <c r="D430" s="14" t="n"/>
      <c r="E430" s="37" t="n"/>
      <c r="F430" s="103" t="n"/>
      <c r="G430" s="103" t="n"/>
      <c r="H430" s="103" t="n"/>
      <c r="I430" s="103" t="n"/>
      <c r="J430" s="4" t="n"/>
      <c r="K430" s="19" t="n"/>
      <c r="L430" s="19" t="n"/>
      <c r="M430" s="19" t="n"/>
      <c r="N430" s="2" t="n"/>
      <c r="O430" s="2" t="n"/>
      <c r="P430" s="2" t="n"/>
      <c r="Q430" s="2" t="n"/>
      <c r="R430" s="28" t="n"/>
      <c r="S430" s="28" t="n"/>
      <c r="T430" s="32" t="n"/>
    </row>
    <row r="431" ht="30" customFormat="1" customHeight="1" s="5">
      <c r="A431" s="17" t="n"/>
      <c r="B431" s="17" t="n"/>
      <c r="C431" s="2" t="n"/>
      <c r="D431" s="14" t="n"/>
      <c r="E431" s="37" t="n"/>
      <c r="F431" s="103" t="n"/>
      <c r="G431" s="103" t="n"/>
      <c r="H431" s="103" t="n"/>
      <c r="I431" s="103" t="n"/>
      <c r="J431" s="4" t="n"/>
      <c r="K431" s="19" t="n"/>
      <c r="L431" s="19" t="n"/>
      <c r="M431" s="19" t="n"/>
      <c r="N431" s="2" t="n"/>
      <c r="O431" s="2" t="n"/>
      <c r="P431" s="2" t="n"/>
      <c r="Q431" s="2" t="n"/>
      <c r="R431" s="28" t="n"/>
      <c r="S431" s="28" t="n"/>
      <c r="T431" s="32" t="n"/>
    </row>
    <row r="432" ht="30" customFormat="1" customHeight="1" s="5">
      <c r="A432" s="17" t="n"/>
      <c r="B432" s="17" t="n"/>
      <c r="C432" s="2" t="n"/>
      <c r="D432" s="14" t="n"/>
      <c r="E432" s="37" t="n"/>
      <c r="F432" s="103" t="n"/>
      <c r="G432" s="103" t="n"/>
      <c r="H432" s="103" t="n"/>
      <c r="I432" s="103" t="n"/>
      <c r="J432" s="4" t="n"/>
      <c r="K432" s="19" t="n"/>
      <c r="L432" s="19" t="n"/>
      <c r="M432" s="19" t="n"/>
      <c r="N432" s="2" t="n"/>
      <c r="O432" s="2" t="n"/>
      <c r="P432" s="2" t="n"/>
      <c r="Q432" s="2" t="n"/>
      <c r="R432" s="28" t="n"/>
      <c r="S432" s="28" t="n"/>
      <c r="T432" s="32" t="n"/>
    </row>
    <row r="433" ht="30" customFormat="1" customHeight="1" s="5">
      <c r="A433" s="17" t="n"/>
      <c r="B433" s="17" t="n"/>
      <c r="C433" s="2" t="n"/>
      <c r="D433" s="14" t="n"/>
      <c r="E433" s="37" t="n"/>
      <c r="F433" s="103" t="n"/>
      <c r="G433" s="103" t="n"/>
      <c r="H433" s="103" t="n"/>
      <c r="I433" s="103" t="n"/>
      <c r="J433" s="4" t="n"/>
      <c r="K433" s="19" t="n"/>
      <c r="L433" s="19" t="n"/>
      <c r="M433" s="19" t="n"/>
      <c r="N433" s="2" t="n"/>
      <c r="O433" s="2" t="n"/>
      <c r="P433" s="2" t="n"/>
      <c r="Q433" s="2" t="n"/>
      <c r="R433" s="28" t="n"/>
      <c r="S433" s="28" t="n"/>
      <c r="T433" s="32" t="n"/>
    </row>
  </sheetData>
  <conditionalFormatting sqref="A3:Q434">
    <cfRule type="expression" priority="2" dxfId="1">
      <formula>$N3="Calibrated"</formula>
    </cfRule>
  </conditionalFormatting>
  <conditionalFormatting sqref="C1:C2 C435:C1048576 E1 G1 I1 K1 M1 O1 Q1 S1">
    <cfRule type="duplicateValues" priority="309" dxfId="0"/>
  </conditionalFormatting>
  <conditionalFormatting sqref="C1:C1048576 E1 G1 I1 K1 M1:M1048576 O1 Q1 S1">
    <cfRule type="duplicateValues" priority="319" dxfId="0"/>
  </conditionalFormatting>
  <conditionalFormatting sqref="M2 M435:M1048576">
    <cfRule type="duplicateValues" priority="3" dxfId="0"/>
  </conditionalFormatting>
  <pageMargins left="0.25" right="0.01197916666666667" top="0.75" bottom="0.75" header="0.3" footer="0.3"/>
  <pageSetup orientation="landscape" paperSize="9" scale="41" fitToHeight="0"/>
  <headerFooter>
    <oddHeader/>
    <oddFooter>&amp;C&amp;"Calibri"&amp;10 &amp;K008000_x000d_# NOMAC | Public</oddFooter>
    <evenHeader/>
    <evenFooter/>
    <firstHeader/>
    <firstFooter/>
  </headerFooter>
  <rowBreaks count="1" manualBreakCount="1">
    <brk id="377" min="0" max="16383" man="1"/>
  </rowBreaks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Q9"/>
  <sheetViews>
    <sheetView workbookViewId="0">
      <selection activeCell="C26" sqref="C26"/>
    </sheetView>
  </sheetViews>
  <sheetFormatPr baseColWidth="8" defaultRowHeight="15"/>
  <cols>
    <col width="4" bestFit="1" customWidth="1" min="1" max="1"/>
    <col width="20" bestFit="1" customWidth="1" min="2" max="2"/>
    <col width="40.7109375" bestFit="1" customWidth="1" min="3" max="3"/>
    <col width="11" bestFit="1" customWidth="1" min="4" max="4"/>
    <col width="7.5703125" bestFit="1" customWidth="1" min="5" max="6"/>
    <col width="10.7109375" customWidth="1" min="7" max="8"/>
    <col width="5.140625" bestFit="1" customWidth="1" min="9" max="9"/>
    <col width="12.42578125" bestFit="1" customWidth="1" min="10" max="10"/>
    <col width="7.5703125" bestFit="1" customWidth="1" min="11" max="11"/>
    <col width="7.85546875" bestFit="1" customWidth="1" min="13" max="13"/>
    <col width="11.140625" customWidth="1" min="14" max="14"/>
    <col width="6.7109375" bestFit="1" customWidth="1" min="15" max="15"/>
    <col width="7.140625" bestFit="1" customWidth="1" min="16" max="16"/>
    <col width="40.42578125" bestFit="1" customWidth="1" min="17" max="17"/>
  </cols>
  <sheetData>
    <row r="1" ht="41.25" customHeight="1">
      <c r="A1" s="7" t="inlineStr">
        <is>
          <t>No</t>
        </is>
      </c>
      <c r="B1" s="8" t="inlineStr">
        <is>
          <t>Functional Loc.</t>
        </is>
      </c>
      <c r="C1" s="9" t="inlineStr">
        <is>
          <t>Description</t>
        </is>
      </c>
      <c r="D1" s="9" t="inlineStr">
        <is>
          <t>Start Date</t>
        </is>
      </c>
      <c r="E1" s="10" t="inlineStr">
        <is>
          <t>Sensor
LRV</t>
        </is>
      </c>
      <c r="F1" s="10" t="inlineStr">
        <is>
          <t>Sensor
URV</t>
        </is>
      </c>
      <c r="G1" s="10" t="inlineStr">
        <is>
          <t>Calibrated
LRV</t>
        </is>
      </c>
      <c r="H1" s="10" t="inlineStr">
        <is>
          <t>Calibrated
URV</t>
        </is>
      </c>
      <c r="I1" s="10" t="inlineStr">
        <is>
          <t>Unit</t>
        </is>
      </c>
      <c r="J1" s="10" t="inlineStr">
        <is>
          <t>Customer</t>
        </is>
      </c>
      <c r="K1" s="10" t="inlineStr">
        <is>
          <t>Sensor Model</t>
        </is>
      </c>
      <c r="L1" s="10" t="inlineStr">
        <is>
          <t>Tx Serial No.</t>
        </is>
      </c>
      <c r="M1" s="11" t="inlineStr">
        <is>
          <t>Tx
Status</t>
        </is>
      </c>
      <c r="N1" s="12" t="inlineStr">
        <is>
          <t>SAP   Ekipman Kodu</t>
        </is>
      </c>
      <c r="O1" s="6" t="inlineStr">
        <is>
          <t>Order Type</t>
        </is>
      </c>
      <c r="P1" s="11" t="inlineStr">
        <is>
          <t>SAP Status</t>
        </is>
      </c>
      <c r="Q1" s="13" t="inlineStr">
        <is>
          <t>Comments</t>
        </is>
      </c>
    </row>
    <row r="2">
      <c r="A2" s="21" t="n"/>
      <c r="B2" s="15" t="inlineStr">
        <is>
          <t>KIPP10MAA10CT031A</t>
        </is>
      </c>
      <c r="C2" s="15" t="inlineStr">
        <is>
          <t>HP TURBINE EXHAUST THERMOCOUPLE</t>
        </is>
      </c>
      <c r="D2" s="22" t="n"/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ᵒC</t>
        </is>
      </c>
      <c r="J2" s="22" t="inlineStr">
        <is>
          <t>-</t>
        </is>
      </c>
      <c r="K2" s="22" t="inlineStr">
        <is>
          <t>-</t>
        </is>
      </c>
      <c r="L2" s="22" t="inlineStr">
        <is>
          <t>-</t>
        </is>
      </c>
      <c r="M2" s="1" t="inlineStr">
        <is>
          <t>Waiting</t>
        </is>
      </c>
      <c r="N2" s="1" t="n">
        <v>10296596</v>
      </c>
      <c r="O2" s="2" t="inlineStr">
        <is>
          <t>ZM06</t>
        </is>
      </c>
      <c r="P2" s="1" t="n"/>
      <c r="Q2" s="16" t="inlineStr">
        <is>
          <t>Dublicate</t>
        </is>
      </c>
    </row>
    <row r="3">
      <c r="A3" s="21" t="n"/>
      <c r="B3" s="15" t="inlineStr">
        <is>
          <t>KIPP10MAA10CT031B</t>
        </is>
      </c>
      <c r="C3" s="15" t="inlineStr">
        <is>
          <t>HP TURBINE EXHAUST THERMOCOUPLE</t>
        </is>
      </c>
      <c r="D3" s="22" t="n"/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ᵒC</t>
        </is>
      </c>
      <c r="J3" s="22" t="inlineStr">
        <is>
          <t>-</t>
        </is>
      </c>
      <c r="K3" s="22" t="inlineStr">
        <is>
          <t>-</t>
        </is>
      </c>
      <c r="L3" s="22" t="inlineStr">
        <is>
          <t>-</t>
        </is>
      </c>
      <c r="M3" s="1" t="inlineStr">
        <is>
          <t>Waiting</t>
        </is>
      </c>
      <c r="N3" s="1" t="n">
        <v>10296597</v>
      </c>
      <c r="O3" s="2" t="inlineStr">
        <is>
          <t>ZM06</t>
        </is>
      </c>
      <c r="P3" s="1" t="n"/>
      <c r="Q3" s="16" t="inlineStr">
        <is>
          <t>Dublicate</t>
        </is>
      </c>
    </row>
    <row r="4">
      <c r="A4" s="21" t="n"/>
      <c r="B4" s="15" t="inlineStr">
        <is>
          <t>KIPP10MAW10CT001</t>
        </is>
      </c>
      <c r="C4" s="15" t="inlineStr">
        <is>
          <t>GLAND STEAM SEALING SYSTEM</t>
        </is>
      </c>
      <c r="D4" s="22" t="n"/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ᵒC</t>
        </is>
      </c>
      <c r="J4" s="22" t="inlineStr">
        <is>
          <t>-</t>
        </is>
      </c>
      <c r="K4" s="22" t="inlineStr">
        <is>
          <t>-</t>
        </is>
      </c>
      <c r="L4" s="22" t="inlineStr">
        <is>
          <t>-</t>
        </is>
      </c>
      <c r="M4" s="1" t="inlineStr">
        <is>
          <t>Waiting</t>
        </is>
      </c>
      <c r="N4" s="1" t="n">
        <v>10297154</v>
      </c>
      <c r="O4" s="2" t="inlineStr">
        <is>
          <t>ZM06</t>
        </is>
      </c>
      <c r="P4" s="1" t="n"/>
      <c r="Q4" s="16" t="inlineStr">
        <is>
          <t>Dublicate</t>
        </is>
      </c>
    </row>
    <row r="5">
      <c r="A5" s="21" t="n"/>
      <c r="B5" s="15" t="inlineStr">
        <is>
          <t>KIPP10MAW10CT002</t>
        </is>
      </c>
      <c r="C5" s="15" t="inlineStr">
        <is>
          <t>GLAND STEAM SEALING SYSTEM</t>
        </is>
      </c>
      <c r="D5" s="22" t="n"/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ᵒC</t>
        </is>
      </c>
      <c r="J5" s="22" t="inlineStr">
        <is>
          <t>-</t>
        </is>
      </c>
      <c r="K5" s="22" t="inlineStr">
        <is>
          <t>-</t>
        </is>
      </c>
      <c r="L5" s="22" t="inlineStr">
        <is>
          <t>-</t>
        </is>
      </c>
      <c r="M5" s="1" t="inlineStr">
        <is>
          <t>Waiting</t>
        </is>
      </c>
      <c r="N5" s="1" t="n">
        <v>10297155</v>
      </c>
      <c r="O5" s="2" t="inlineStr">
        <is>
          <t>ZM06</t>
        </is>
      </c>
      <c r="P5" s="1" t="n"/>
      <c r="Q5" s="16" t="inlineStr">
        <is>
          <t>Dublicate</t>
        </is>
      </c>
    </row>
    <row r="6" customFormat="1" s="5">
      <c r="A6" s="17" t="n"/>
      <c r="B6" s="14" t="inlineStr">
        <is>
          <t>KIPP12MBP41CP100</t>
        </is>
      </c>
      <c r="C6" s="14" t="inlineStr">
        <is>
          <t>EV STG2 FUEL GAS PRESSURE MEASUREMENT</t>
        </is>
      </c>
      <c r="D6" s="18" t="n"/>
      <c r="E6" s="4" t="n">
        <v>0</v>
      </c>
      <c r="F6" s="4" t="inlineStr">
        <is>
          <t>275.79</t>
        </is>
      </c>
      <c r="G6" s="4" t="n">
        <v>0</v>
      </c>
      <c r="H6" s="4" t="n">
        <v>70</v>
      </c>
      <c r="I6" s="4" t="inlineStr">
        <is>
          <t>Bar</t>
        </is>
      </c>
      <c r="J6" s="19" t="inlineStr">
        <is>
          <t>ROSEMOUNT</t>
        </is>
      </c>
      <c r="K6" s="19" t="inlineStr">
        <is>
          <t>3051 PT</t>
        </is>
      </c>
      <c r="L6" s="19" t="inlineStr">
        <is>
          <t>-</t>
        </is>
      </c>
      <c r="M6" s="2" t="inlineStr">
        <is>
          <t>Waiting</t>
        </is>
      </c>
      <c r="N6" s="2" t="n">
        <v>10302853</v>
      </c>
      <c r="O6" s="2" t="inlineStr">
        <is>
          <t>ZM06</t>
        </is>
      </c>
      <c r="P6" s="2" t="n"/>
      <c r="Q6" s="16" t="inlineStr">
        <is>
          <t>For Commissionnig</t>
        </is>
      </c>
    </row>
    <row r="7" customFormat="1" s="5">
      <c r="A7" s="17" t="n"/>
      <c r="B7" s="14" t="inlineStr">
        <is>
          <t>KIPP12MBP43CP100</t>
        </is>
      </c>
      <c r="C7" s="14" t="inlineStr">
        <is>
          <t>EV STG1 FUEL GAS PRESSURE MEASUREMENT</t>
        </is>
      </c>
      <c r="D7" s="18" t="n"/>
      <c r="E7" s="4" t="n">
        <v>0</v>
      </c>
      <c r="F7" s="4" t="inlineStr">
        <is>
          <t>275.79</t>
        </is>
      </c>
      <c r="G7" s="4" t="n">
        <v>0</v>
      </c>
      <c r="H7" s="4" t="n">
        <v>70</v>
      </c>
      <c r="I7" s="4" t="inlineStr">
        <is>
          <t>Bar</t>
        </is>
      </c>
      <c r="J7" s="19" t="inlineStr">
        <is>
          <t>ROSEMOUNT</t>
        </is>
      </c>
      <c r="K7" s="19" t="inlineStr">
        <is>
          <t>3051 PT</t>
        </is>
      </c>
      <c r="L7" s="19" t="inlineStr">
        <is>
          <t>-</t>
        </is>
      </c>
      <c r="M7" s="2" t="inlineStr">
        <is>
          <t>Waiting</t>
        </is>
      </c>
      <c r="N7" s="2" t="n">
        <v>10302882</v>
      </c>
      <c r="O7" s="2" t="inlineStr">
        <is>
          <t>ZM06</t>
        </is>
      </c>
      <c r="P7" s="2" t="n"/>
      <c r="Q7" s="16" t="inlineStr">
        <is>
          <t>For Commissionnig</t>
        </is>
      </c>
    </row>
    <row r="8" customFormat="1" s="5">
      <c r="A8" s="17" t="n"/>
      <c r="B8" s="14" t="inlineStr">
        <is>
          <t>KIPP11MBP41CP100</t>
        </is>
      </c>
      <c r="C8" s="14" t="inlineStr">
        <is>
          <t>EV STG2 FUEL GAS PRESSURE MEASUREMENT</t>
        </is>
      </c>
      <c r="D8" s="18" t="n"/>
      <c r="E8" s="3" t="n">
        <v>0</v>
      </c>
      <c r="F8" s="3" t="inlineStr">
        <is>
          <t>275.79</t>
        </is>
      </c>
      <c r="G8" s="3" t="n">
        <v>0</v>
      </c>
      <c r="H8" s="3" t="n">
        <v>70</v>
      </c>
      <c r="I8" s="4" t="inlineStr">
        <is>
          <t>Bar</t>
        </is>
      </c>
      <c r="J8" s="19" t="inlineStr">
        <is>
          <t>ROSEMOUNT</t>
        </is>
      </c>
      <c r="K8" s="19" t="inlineStr">
        <is>
          <t>3051 PT</t>
        </is>
      </c>
      <c r="L8" s="20" t="n">
        <v>9782036</v>
      </c>
      <c r="M8" s="2" t="inlineStr">
        <is>
          <t>Waiting</t>
        </is>
      </c>
      <c r="N8" s="2" t="n">
        <v>10300348</v>
      </c>
      <c r="O8" s="2" t="inlineStr">
        <is>
          <t>ZM06</t>
        </is>
      </c>
      <c r="P8" s="2" t="n"/>
      <c r="Q8" s="16" t="inlineStr">
        <is>
          <t>For Commissionnig</t>
        </is>
      </c>
    </row>
    <row r="9" customFormat="1" s="5">
      <c r="A9" s="17" t="n"/>
      <c r="B9" s="14" t="inlineStr">
        <is>
          <t>KIPP11MBP43CP100</t>
        </is>
      </c>
      <c r="C9" s="14" t="inlineStr">
        <is>
          <t>EV STG1 FUEL GAS PRESSURE MEASUREMENT</t>
        </is>
      </c>
      <c r="D9" s="18" t="n"/>
      <c r="E9" s="3" t="n">
        <v>0</v>
      </c>
      <c r="F9" s="3" t="inlineStr">
        <is>
          <t>275.79</t>
        </is>
      </c>
      <c r="G9" s="3" t="n">
        <v>0</v>
      </c>
      <c r="H9" s="3" t="n">
        <v>70</v>
      </c>
      <c r="I9" s="4" t="inlineStr">
        <is>
          <t>Bar</t>
        </is>
      </c>
      <c r="J9" s="19" t="inlineStr">
        <is>
          <t>ROSEMOUNT</t>
        </is>
      </c>
      <c r="K9" s="19" t="inlineStr">
        <is>
          <t>3051 PT</t>
        </is>
      </c>
      <c r="L9" s="19" t="inlineStr">
        <is>
          <t>-</t>
        </is>
      </c>
      <c r="M9" s="2" t="inlineStr">
        <is>
          <t>Waiting</t>
        </is>
      </c>
      <c r="N9" s="2" t="n">
        <v>10300377</v>
      </c>
      <c r="O9" s="2" t="inlineStr">
        <is>
          <t>ZM06</t>
        </is>
      </c>
      <c r="P9" s="2" t="n"/>
      <c r="Q9" s="16" t="inlineStr">
        <is>
          <t>For Commissionnig</t>
        </is>
      </c>
    </row>
  </sheetData>
  <conditionalFormatting sqref="A6:A9">
    <cfRule type="expression" priority="5" dxfId="1">
      <formula>M6="Calibrated"</formula>
    </cfRule>
  </conditionalFormatting>
  <conditionalFormatting sqref="B6:B9">
    <cfRule type="expression" priority="4" dxfId="1">
      <formula>M6="Calibrated"</formula>
    </cfRule>
  </conditionalFormatting>
  <conditionalFormatting sqref="C6:C9">
    <cfRule type="expression" priority="3" dxfId="1">
      <formula>M6="Calibrated"</formula>
    </cfRule>
  </conditionalFormatting>
  <conditionalFormatting sqref="D6:D9">
    <cfRule type="expression" priority="2" dxfId="1">
      <formula>M6="Calibrated"</formula>
    </cfRule>
  </conditionalFormatting>
  <conditionalFormatting sqref="L8">
    <cfRule type="duplicateValues" priority="1" dxfId="0"/>
  </conditionalFormatting>
  <pageMargins left="0.7" right="0.7" top="0.75" bottom="0.75" header="0.3" footer="0.3"/>
  <pageSetup orientation="portrait" paperSize="9"/>
  <headerFooter>
    <oddHeader/>
    <oddFooter>&amp;C&amp;"Calibri"&amp;10 &amp;K008000_x000d_# NOMAC | Public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6">
    <outlinePr summaryBelow="1" summaryRight="1"/>
    <pageSetUpPr/>
  </sheetPr>
  <dimension ref="B2:H21"/>
  <sheetViews>
    <sheetView zoomScale="140" zoomScaleNormal="140" workbookViewId="0">
      <selection activeCell="H13" sqref="H13"/>
    </sheetView>
  </sheetViews>
  <sheetFormatPr baseColWidth="8" defaultRowHeight="15"/>
  <cols>
    <col width="2.85546875" customWidth="1" min="1" max="1"/>
    <col width="2.28515625" bestFit="1" customWidth="1" style="5" min="2" max="2"/>
    <col width="39.28515625" bestFit="1" customWidth="1" min="3" max="3"/>
    <col width="8.28515625" bestFit="1" customWidth="1" min="4" max="4"/>
    <col width="43.140625" bestFit="1" customWidth="1" min="5" max="5"/>
    <col width="8.28515625" bestFit="1" customWidth="1" min="6" max="6"/>
    <col width="47.85546875" bestFit="1" customWidth="1" min="7" max="7"/>
    <col width="8.28515625" bestFit="1" customWidth="1" min="8" max="8"/>
  </cols>
  <sheetData>
    <row r="2" customFormat="1" s="5">
      <c r="B2" s="78" t="n">
        <v>1</v>
      </c>
      <c r="C2" s="78" t="n">
        <v>2</v>
      </c>
      <c r="D2" s="78" t="n">
        <v>3</v>
      </c>
      <c r="E2" s="78" t="n">
        <v>4</v>
      </c>
      <c r="F2" s="78" t="n">
        <v>5</v>
      </c>
      <c r="G2" s="78" t="n">
        <v>6</v>
      </c>
      <c r="H2" s="78" t="n">
        <v>7</v>
      </c>
    </row>
    <row r="3">
      <c r="B3" s="78" t="inlineStr">
        <is>
          <t>A</t>
        </is>
      </c>
      <c r="C3" s="79" t="inlineStr">
        <is>
          <t>Fluke 754 Multifunction Process Calibrator</t>
        </is>
      </c>
      <c r="D3" s="80" t="n"/>
      <c r="E3" s="79" t="inlineStr">
        <is>
          <t>Beamex Calibration Pressure Pump  0 - 700 Bar</t>
        </is>
      </c>
      <c r="F3" s="80" t="inlineStr">
        <is>
          <t>-</t>
        </is>
      </c>
      <c r="G3" s="79" t="inlineStr">
        <is>
          <t>Fluke 750P30 High Pressure Module 340 Bar</t>
        </is>
      </c>
      <c r="H3" s="80" t="n"/>
    </row>
    <row r="4">
      <c r="B4" s="78" t="inlineStr">
        <is>
          <t>B</t>
        </is>
      </c>
      <c r="C4" s="79" t="inlineStr">
        <is>
          <t>Fluke 754 Multifunction Process Calibrator</t>
        </is>
      </c>
      <c r="D4" s="80" t="n"/>
      <c r="E4" s="79" t="inlineStr">
        <is>
          <t>Beamex Calibration Pressure Pump  0 - 700 Bar</t>
        </is>
      </c>
      <c r="F4" s="80" t="inlineStr">
        <is>
          <t>-</t>
        </is>
      </c>
      <c r="G4" s="79" t="inlineStr">
        <is>
          <t>Fluke 750P07 Gage Pressure Module 35 Bar</t>
        </is>
      </c>
      <c r="H4" s="80" t="n"/>
    </row>
    <row r="5">
      <c r="B5" s="78" t="inlineStr">
        <is>
          <t>C</t>
        </is>
      </c>
      <c r="C5" s="79" t="inlineStr">
        <is>
          <t>Fluke 754 Multifunction Process Calibrator</t>
        </is>
      </c>
      <c r="D5" s="80" t="n"/>
      <c r="E5" s="79" t="inlineStr">
        <is>
          <t>Beamex Calibration Pressure Pump  0 - 20 Bar</t>
        </is>
      </c>
      <c r="F5" s="80" t="inlineStr">
        <is>
          <t>-</t>
        </is>
      </c>
      <c r="G5" s="79" t="inlineStr">
        <is>
          <t>Fluke 750P06 Gage Pressure Module 7 Bar</t>
        </is>
      </c>
      <c r="H5" s="80" t="n"/>
    </row>
    <row r="6">
      <c r="B6" s="78" t="inlineStr">
        <is>
          <t>D</t>
        </is>
      </c>
      <c r="C6" s="79" t="inlineStr">
        <is>
          <t>Fluke 754 Multifunction Process Calibrator</t>
        </is>
      </c>
      <c r="D6" s="80" t="n"/>
      <c r="E6" s="79" t="inlineStr">
        <is>
          <t>Beamex Calibration Pressure Pump  0 - 20 Bar</t>
        </is>
      </c>
      <c r="F6" s="80" t="inlineStr">
        <is>
          <t>-</t>
        </is>
      </c>
      <c r="G6" s="79" t="inlineStr">
        <is>
          <t>Fluke 750PD5 Dual Range Pressure Module -1+2 Bar</t>
        </is>
      </c>
      <c r="H6" s="80" t="n"/>
    </row>
    <row r="7">
      <c r="B7" s="78" t="n"/>
      <c r="C7" s="79" t="n"/>
      <c r="D7" s="79" t="n"/>
      <c r="E7" s="79" t="n"/>
      <c r="F7" s="79" t="n"/>
      <c r="G7" s="79" t="n"/>
      <c r="H7" s="79" t="n"/>
    </row>
    <row r="8">
      <c r="B8" s="78" t="inlineStr">
        <is>
          <t>E</t>
        </is>
      </c>
      <c r="C8" s="79" t="inlineStr">
        <is>
          <t>Beamex MC6</t>
        </is>
      </c>
      <c r="D8" s="80" t="inlineStr">
        <is>
          <t>-</t>
        </is>
      </c>
      <c r="E8" s="79" t="inlineStr">
        <is>
          <t>Beamex Calibration Pressure Pump  0 - 700 Bar</t>
        </is>
      </c>
      <c r="F8" s="80" t="inlineStr">
        <is>
          <t>-</t>
        </is>
      </c>
      <c r="G8" s="79" t="inlineStr">
        <is>
          <t>EXTERNAL PRESSURE MODULE EXT 100M</t>
        </is>
      </c>
      <c r="H8" s="80" t="inlineStr">
        <is>
          <t>-</t>
        </is>
      </c>
    </row>
    <row r="9">
      <c r="B9" s="78" t="inlineStr">
        <is>
          <t>F</t>
        </is>
      </c>
      <c r="C9" s="79" t="inlineStr">
        <is>
          <t>Beamex MC6</t>
        </is>
      </c>
      <c r="D9" s="80" t="inlineStr">
        <is>
          <t>-</t>
        </is>
      </c>
      <c r="E9" s="79" t="inlineStr">
        <is>
          <t>Beamex Calibration Pressure Pump  0 - 20 Bar</t>
        </is>
      </c>
      <c r="F9" s="80" t="inlineStr">
        <is>
          <t>-</t>
        </is>
      </c>
      <c r="G9" s="79" t="inlineStr">
        <is>
          <t>EXTERNAL PRESSURE MODULE EXT 250</t>
        </is>
      </c>
      <c r="H9" s="80" t="inlineStr">
        <is>
          <t>-</t>
        </is>
      </c>
    </row>
    <row r="10">
      <c r="C10" s="76" t="n"/>
      <c r="D10" s="76" t="n"/>
    </row>
    <row r="11">
      <c r="C11" s="76" t="n"/>
    </row>
    <row r="14">
      <c r="C14" s="76" t="n"/>
      <c r="D14" s="76" t="n"/>
    </row>
    <row r="20">
      <c r="C20" s="76" t="n"/>
      <c r="D20" s="81" t="n"/>
    </row>
    <row r="21">
      <c r="D21" s="77" t="n"/>
    </row>
  </sheetData>
  <pageMargins left="0.7" right="0.7" top="0.75" bottom="0.75" header="0.3" footer="0.3"/>
  <pageSetup orientation="portrait" paperSize="9"/>
  <headerFooter>
    <oddHeader/>
    <oddFooter>&amp;C&amp;"Calibri"&amp;10 &amp;K008000_x000d_# NOMAC | Public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T148"/>
  <sheetViews>
    <sheetView view="pageBreakPreview" zoomScale="80" zoomScaleNormal="100" zoomScaleSheetLayoutView="80" workbookViewId="0">
      <selection activeCell="F7" sqref="F7"/>
    </sheetView>
  </sheetViews>
  <sheetFormatPr baseColWidth="8" defaultRowHeight="15"/>
  <cols>
    <col width="6.7109375" customWidth="1" min="1" max="1"/>
    <col width="20.7109375" customWidth="1" style="34" min="2" max="2"/>
    <col width="47.140625" bestFit="1" customWidth="1" style="35" min="3" max="3"/>
    <col width="20.7109375" customWidth="1" style="36" min="4" max="7"/>
    <col width="20.7109375" customWidth="1" style="35" min="8" max="8"/>
    <col width="20.7109375" customWidth="1" style="36" min="9" max="10"/>
    <col width="20.7109375" customWidth="1" style="35" min="11" max="11"/>
    <col width="18.7109375" customWidth="1" min="12" max="12"/>
    <col width="9.140625" customWidth="1" min="13" max="13"/>
  </cols>
  <sheetData>
    <row r="1" ht="15.75" customHeight="1" thickBot="1">
      <c r="A1" s="5" t="n"/>
      <c r="B1" s="5" t="n"/>
      <c r="C1" s="5" t="n">
        <v>2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n">
        <v>11</v>
      </c>
      <c r="L1" s="5" t="n">
        <v>10</v>
      </c>
      <c r="M1" s="5" t="n">
        <v>11</v>
      </c>
      <c r="N1" s="35" t="n"/>
      <c r="Q1" s="5" t="n">
        <v>15</v>
      </c>
      <c r="R1" s="5" t="n"/>
      <c r="S1" s="36" t="n"/>
      <c r="T1" s="35" t="n"/>
    </row>
    <row r="2" ht="39.95" customFormat="1" customHeight="1" s="38" thickBot="1">
      <c r="A2" s="56" t="inlineStr">
        <is>
          <t>No</t>
        </is>
      </c>
      <c r="B2" s="57" t="inlineStr">
        <is>
          <t>Functional
Location</t>
        </is>
      </c>
      <c r="C2" s="58" t="inlineStr">
        <is>
          <t>Description</t>
        </is>
      </c>
      <c r="D2" s="59" t="inlineStr">
        <is>
          <t>Sensor
LRV</t>
        </is>
      </c>
      <c r="E2" s="59" t="inlineStr">
        <is>
          <t>Sensor
URV</t>
        </is>
      </c>
      <c r="F2" s="59" t="inlineStr">
        <is>
          <t>Calibrated
LRV</t>
        </is>
      </c>
      <c r="G2" s="59" t="inlineStr">
        <is>
          <t>Calibrated
URV</t>
        </is>
      </c>
      <c r="H2" s="59" t="inlineStr">
        <is>
          <t>Unit</t>
        </is>
      </c>
      <c r="I2" s="59" t="inlineStr">
        <is>
          <t>Customer</t>
        </is>
      </c>
      <c r="J2" s="59" t="inlineStr">
        <is>
          <t>Sensor Model</t>
        </is>
      </c>
      <c r="K2" s="60" t="inlineStr">
        <is>
          <t>Tx
Serial No.</t>
        </is>
      </c>
    </row>
    <row r="3" ht="39.95" customFormat="1" customHeight="1" s="90">
      <c r="A3" s="88" t="n">
        <v>1</v>
      </c>
      <c r="B3" s="89" t="inlineStr">
        <is>
          <t>00GHC24CF101</t>
        </is>
      </c>
      <c r="C3" s="89">
        <f>VLOOKUP($B3,'Tx Detail List'!$C:$T,2,FALSE)</f>
        <v/>
      </c>
      <c r="D3" s="102">
        <f>VLOOKUP($B3,'Tx Detail List'!$C:$T,4,FALSE)</f>
        <v/>
      </c>
      <c r="E3" s="102">
        <f>VLOOKUP($B3,'Tx Detail List'!$C:$T,5,FALSE)</f>
        <v/>
      </c>
      <c r="F3" s="102">
        <f>VLOOKUP($B3,'Tx Detail List'!$C:$T,6,FALSE)</f>
        <v/>
      </c>
      <c r="G3" s="102">
        <f>VLOOKUP($B3,'Tx Detail List'!$C:$T,7,FALSE)</f>
        <v/>
      </c>
      <c r="H3" s="102">
        <f>VLOOKUP($B3,'Tx Detail List'!$C:$T,8,FALSE)</f>
        <v/>
      </c>
      <c r="I3" s="102">
        <f>VLOOKUP($B3,'Tx Detail List'!$C:$T,9,FALSE)</f>
        <v/>
      </c>
      <c r="J3" s="102">
        <f>VLOOKUP($B3,'Tx Detail List'!$C:$T,10,FALSE)</f>
        <v/>
      </c>
      <c r="K3" s="102">
        <f>VLOOKUP($B3,'Tx Detail List'!$C:$T,11,FALSE)</f>
        <v/>
      </c>
    </row>
    <row r="4" ht="39.95" customFormat="1" customHeight="1" s="90">
      <c r="A4" s="91" t="n">
        <v>2</v>
      </c>
      <c r="B4" s="92" t="inlineStr">
        <is>
          <t>10LAA00CP101</t>
        </is>
      </c>
      <c r="C4" s="89">
        <f>VLOOKUP($B4,'Tx Detail List'!$C:$T,2,FALSE)</f>
        <v/>
      </c>
      <c r="D4" s="102">
        <f>VLOOKUP($B4,'Tx Detail List'!$C:$T,4,FALSE)</f>
        <v/>
      </c>
      <c r="E4" s="102">
        <f>VLOOKUP($B4,'Tx Detail List'!$C:$T,5,FALSE)</f>
        <v/>
      </c>
      <c r="F4" s="102">
        <f>VLOOKUP($B4,'Tx Detail List'!$C:$T,6,FALSE)</f>
        <v/>
      </c>
      <c r="G4" s="102">
        <f>VLOOKUP($B4,'Tx Detail List'!$C:$T,7,FALSE)</f>
        <v/>
      </c>
      <c r="H4" s="102">
        <f>VLOOKUP($B4,'Tx Detail List'!$C:$T,8,FALSE)</f>
        <v/>
      </c>
      <c r="I4" s="102">
        <f>VLOOKUP($B4,'Tx Detail List'!$C:$T,9,FALSE)</f>
        <v/>
      </c>
      <c r="J4" s="102">
        <f>VLOOKUP($B4,'Tx Detail List'!$C:$T,10,FALSE)</f>
        <v/>
      </c>
      <c r="K4" s="102">
        <f>VLOOKUP($B4,'Tx Detail List'!$C:$T,11,FALSE)</f>
        <v/>
      </c>
    </row>
    <row r="5" ht="39.95" customFormat="1" customHeight="1" s="90">
      <c r="A5" s="91" t="n">
        <v>3</v>
      </c>
      <c r="B5" s="92" t="inlineStr">
        <is>
          <t>10LAA00CP102</t>
        </is>
      </c>
      <c r="C5" s="89">
        <f>VLOOKUP($B5,'Tx Detail List'!$C:$T,2,FALSE)</f>
        <v/>
      </c>
      <c r="D5" s="102">
        <f>VLOOKUP($B5,'Tx Detail List'!$C:$T,4,FALSE)</f>
        <v/>
      </c>
      <c r="E5" s="102">
        <f>VLOOKUP($B5,'Tx Detail List'!$C:$T,5,FALSE)</f>
        <v/>
      </c>
      <c r="F5" s="102">
        <f>VLOOKUP($B5,'Tx Detail List'!$C:$T,6,FALSE)</f>
        <v/>
      </c>
      <c r="G5" s="102">
        <f>VLOOKUP($B5,'Tx Detail List'!$C:$T,7,FALSE)</f>
        <v/>
      </c>
      <c r="H5" s="102">
        <f>VLOOKUP($B5,'Tx Detail List'!$C:$T,8,FALSE)</f>
        <v/>
      </c>
      <c r="I5" s="102">
        <f>VLOOKUP($B5,'Tx Detail List'!$C:$T,9,FALSE)</f>
        <v/>
      </c>
      <c r="J5" s="102">
        <f>VLOOKUP($B5,'Tx Detail List'!$C:$T,10,FALSE)</f>
        <v/>
      </c>
      <c r="K5" s="102">
        <f>VLOOKUP($B5,'Tx Detail List'!$C:$T,11,FALSE)</f>
        <v/>
      </c>
    </row>
    <row r="6" ht="39.95" customFormat="1" customHeight="1" s="90">
      <c r="A6" s="91" t="n">
        <v>4</v>
      </c>
      <c r="B6" s="92" t="inlineStr">
        <is>
          <t>10LAA00CP103</t>
        </is>
      </c>
      <c r="C6" s="89">
        <f>VLOOKUP($B6,'Tx Detail List'!$C:$T,2,FALSE)</f>
        <v/>
      </c>
      <c r="D6" s="102">
        <f>VLOOKUP($B6,'Tx Detail List'!$C:$T,4,FALSE)</f>
        <v/>
      </c>
      <c r="E6" s="102">
        <f>VLOOKUP($B6,'Tx Detail List'!$C:$T,5,FALSE)</f>
        <v/>
      </c>
      <c r="F6" s="102">
        <f>VLOOKUP($B6,'Tx Detail List'!$C:$T,6,FALSE)</f>
        <v/>
      </c>
      <c r="G6" s="102">
        <f>VLOOKUP($B6,'Tx Detail List'!$C:$T,7,FALSE)</f>
        <v/>
      </c>
      <c r="H6" s="102">
        <f>VLOOKUP($B6,'Tx Detail List'!$C:$T,8,FALSE)</f>
        <v/>
      </c>
      <c r="I6" s="102">
        <f>VLOOKUP($B6,'Tx Detail List'!$C:$T,9,FALSE)</f>
        <v/>
      </c>
      <c r="J6" s="102">
        <f>VLOOKUP($B6,'Tx Detail List'!$C:$T,10,FALSE)</f>
        <v/>
      </c>
      <c r="K6" s="102">
        <f>VLOOKUP($B6,'Tx Detail List'!$C:$T,11,FALSE)</f>
        <v/>
      </c>
    </row>
    <row r="7" ht="39.95" customFormat="1" customHeight="1" s="90">
      <c r="A7" s="91" t="n">
        <v>5</v>
      </c>
      <c r="B7" s="92" t="inlineStr">
        <is>
          <t>10LAB01CP102</t>
        </is>
      </c>
      <c r="C7" s="89">
        <f>VLOOKUP($B7,'Tx Detail List'!$C:$T,2,FALSE)</f>
        <v/>
      </c>
      <c r="D7" s="102">
        <f>VLOOKUP($B7,'Tx Detail List'!$C:$T,4,FALSE)</f>
        <v/>
      </c>
      <c r="E7" s="102">
        <f>VLOOKUP($B7,'Tx Detail List'!$C:$T,5,FALSE)</f>
        <v/>
      </c>
      <c r="F7" s="102">
        <f>VLOOKUP($B7,'Tx Detail List'!$C:$T,6,FALSE)</f>
        <v/>
      </c>
      <c r="G7" s="102">
        <f>VLOOKUP($B7,'Tx Detail List'!$C:$T,7,FALSE)</f>
        <v/>
      </c>
      <c r="H7" s="102">
        <f>VLOOKUP($B7,'Tx Detail List'!$C:$T,8,FALSE)</f>
        <v/>
      </c>
      <c r="I7" s="102">
        <f>VLOOKUP($B7,'Tx Detail List'!$C:$T,9,FALSE)</f>
        <v/>
      </c>
      <c r="J7" s="102">
        <f>VLOOKUP($B7,'Tx Detail List'!$C:$T,10,FALSE)</f>
        <v/>
      </c>
      <c r="K7" s="102">
        <f>VLOOKUP($B7,'Tx Detail List'!$C:$T,11,FALSE)</f>
        <v/>
      </c>
    </row>
    <row r="8" ht="39.95" customFormat="1" customHeight="1" s="90">
      <c r="A8" s="91" t="n">
        <v>6</v>
      </c>
      <c r="B8" s="92" t="inlineStr">
        <is>
          <t>10LAB02CP102</t>
        </is>
      </c>
      <c r="C8" s="89">
        <f>VLOOKUP($B8,'Tx Detail List'!$C:$T,2,FALSE)</f>
        <v/>
      </c>
      <c r="D8" s="102">
        <f>VLOOKUP($B8,'Tx Detail List'!$C:$T,4,FALSE)</f>
        <v/>
      </c>
      <c r="E8" s="102">
        <f>VLOOKUP($B8,'Tx Detail List'!$C:$T,5,FALSE)</f>
        <v/>
      </c>
      <c r="F8" s="102">
        <f>VLOOKUP($B8,'Tx Detail List'!$C:$T,6,FALSE)</f>
        <v/>
      </c>
      <c r="G8" s="102">
        <f>VLOOKUP($B8,'Tx Detail List'!$C:$T,7,FALSE)</f>
        <v/>
      </c>
      <c r="H8" s="102">
        <f>VLOOKUP($B8,'Tx Detail List'!$C:$T,8,FALSE)</f>
        <v/>
      </c>
      <c r="I8" s="102">
        <f>VLOOKUP($B8,'Tx Detail List'!$C:$T,9,FALSE)</f>
        <v/>
      </c>
      <c r="J8" s="102">
        <f>VLOOKUP($B8,'Tx Detail List'!$C:$T,10,FALSE)</f>
        <v/>
      </c>
      <c r="K8" s="102">
        <f>VLOOKUP($B8,'Tx Detail List'!$C:$T,11,FALSE)</f>
        <v/>
      </c>
    </row>
    <row r="9" ht="39.95" customFormat="1" customHeight="1" s="90">
      <c r="A9" s="91" t="n">
        <v>7</v>
      </c>
      <c r="B9" s="92" t="inlineStr">
        <is>
          <t>10LAB03CP102</t>
        </is>
      </c>
      <c r="C9" s="89">
        <f>VLOOKUP($B9,'Tx Detail List'!$C:$T,2,FALSE)</f>
        <v/>
      </c>
      <c r="D9" s="102">
        <f>VLOOKUP($B9,'Tx Detail List'!$C:$T,4,FALSE)</f>
        <v/>
      </c>
      <c r="E9" s="102">
        <f>VLOOKUP($B9,'Tx Detail List'!$C:$T,5,FALSE)</f>
        <v/>
      </c>
      <c r="F9" s="102">
        <f>VLOOKUP($B9,'Tx Detail List'!$C:$T,6,FALSE)</f>
        <v/>
      </c>
      <c r="G9" s="102">
        <f>VLOOKUP($B9,'Tx Detail List'!$C:$T,7,FALSE)</f>
        <v/>
      </c>
      <c r="H9" s="102">
        <f>VLOOKUP($B9,'Tx Detail List'!$C:$T,8,FALSE)</f>
        <v/>
      </c>
      <c r="I9" s="102">
        <f>VLOOKUP($B9,'Tx Detail List'!$C:$T,9,FALSE)</f>
        <v/>
      </c>
      <c r="J9" s="102">
        <f>VLOOKUP($B9,'Tx Detail List'!$C:$T,10,FALSE)</f>
        <v/>
      </c>
      <c r="K9" s="102">
        <f>VLOOKUP($B9,'Tx Detail List'!$C:$T,11,FALSE)</f>
        <v/>
      </c>
    </row>
    <row r="10" ht="39.95" customFormat="1" customHeight="1" s="90">
      <c r="A10" s="91" t="n">
        <v>8</v>
      </c>
      <c r="B10" s="92" t="inlineStr">
        <is>
          <t>10LAB06CP102</t>
        </is>
      </c>
      <c r="C10" s="89">
        <f>VLOOKUP($B10,'Tx Detail List'!$C:$T,2,FALSE)</f>
        <v/>
      </c>
      <c r="D10" s="102">
        <f>VLOOKUP($B10,'Tx Detail List'!$C:$T,4,FALSE)</f>
        <v/>
      </c>
      <c r="E10" s="102">
        <f>VLOOKUP($B10,'Tx Detail List'!$C:$T,5,FALSE)</f>
        <v/>
      </c>
      <c r="F10" s="102">
        <f>VLOOKUP($B10,'Tx Detail List'!$C:$T,6,FALSE)</f>
        <v/>
      </c>
      <c r="G10" s="102">
        <f>VLOOKUP($B10,'Tx Detail List'!$C:$T,7,FALSE)</f>
        <v/>
      </c>
      <c r="H10" s="102">
        <f>VLOOKUP($B10,'Tx Detail List'!$C:$T,8,FALSE)</f>
        <v/>
      </c>
      <c r="I10" s="102">
        <f>VLOOKUP($B10,'Tx Detail List'!$C:$T,9,FALSE)</f>
        <v/>
      </c>
      <c r="J10" s="102">
        <f>VLOOKUP($B10,'Tx Detail List'!$C:$T,10,FALSE)</f>
        <v/>
      </c>
      <c r="K10" s="102">
        <f>VLOOKUP($B10,'Tx Detail List'!$C:$T,11,FALSE)</f>
        <v/>
      </c>
    </row>
    <row r="11" ht="39.95" customFormat="1" customHeight="1" s="90">
      <c r="A11" s="91" t="n">
        <v>9</v>
      </c>
      <c r="B11" s="92" t="inlineStr">
        <is>
          <t>10LAB07CP102</t>
        </is>
      </c>
      <c r="C11" s="89">
        <f>VLOOKUP($B11,'Tx Detail List'!$C:$T,2,FALSE)</f>
        <v/>
      </c>
      <c r="D11" s="102">
        <f>VLOOKUP($B11,'Tx Detail List'!$C:$T,4,FALSE)</f>
        <v/>
      </c>
      <c r="E11" s="102">
        <f>VLOOKUP($B11,'Tx Detail List'!$C:$T,5,FALSE)</f>
        <v/>
      </c>
      <c r="F11" s="102">
        <f>VLOOKUP($B11,'Tx Detail List'!$C:$T,6,FALSE)</f>
        <v/>
      </c>
      <c r="G11" s="102">
        <f>VLOOKUP($B11,'Tx Detail List'!$C:$T,7,FALSE)</f>
        <v/>
      </c>
      <c r="H11" s="102">
        <f>VLOOKUP($B11,'Tx Detail List'!$C:$T,8,FALSE)</f>
        <v/>
      </c>
      <c r="I11" s="102">
        <f>VLOOKUP($B11,'Tx Detail List'!$C:$T,9,FALSE)</f>
        <v/>
      </c>
      <c r="J11" s="102">
        <f>VLOOKUP($B11,'Tx Detail List'!$C:$T,10,FALSE)</f>
        <v/>
      </c>
      <c r="K11" s="102">
        <f>VLOOKUP($B11,'Tx Detail List'!$C:$T,11,FALSE)</f>
        <v/>
      </c>
    </row>
    <row r="12" ht="39.95" customFormat="1" customHeight="1" s="90">
      <c r="A12" s="91" t="n">
        <v>10</v>
      </c>
      <c r="B12" s="92" t="inlineStr">
        <is>
          <t>10LAB08CP102</t>
        </is>
      </c>
      <c r="C12" s="89">
        <f>VLOOKUP($B12,'Tx Detail List'!$C:$T,2,FALSE)</f>
        <v/>
      </c>
      <c r="D12" s="102">
        <f>VLOOKUP($B12,'Tx Detail List'!$C:$T,4,FALSE)</f>
        <v/>
      </c>
      <c r="E12" s="102">
        <f>VLOOKUP($B12,'Tx Detail List'!$C:$T,5,FALSE)</f>
        <v/>
      </c>
      <c r="F12" s="102">
        <f>VLOOKUP($B12,'Tx Detail List'!$C:$T,6,FALSE)</f>
        <v/>
      </c>
      <c r="G12" s="102">
        <f>VLOOKUP($B12,'Tx Detail List'!$C:$T,7,FALSE)</f>
        <v/>
      </c>
      <c r="H12" s="102">
        <f>VLOOKUP($B12,'Tx Detail List'!$C:$T,8,FALSE)</f>
        <v/>
      </c>
      <c r="I12" s="102">
        <f>VLOOKUP($B12,'Tx Detail List'!$C:$T,9,FALSE)</f>
        <v/>
      </c>
      <c r="J12" s="102">
        <f>VLOOKUP($B12,'Tx Detail List'!$C:$T,10,FALSE)</f>
        <v/>
      </c>
      <c r="K12" s="102">
        <f>VLOOKUP($B12,'Tx Detail List'!$C:$T,11,FALSE)</f>
        <v/>
      </c>
    </row>
    <row r="13" ht="39.95" customFormat="1" customHeight="1" s="90">
      <c r="A13" s="91" t="n">
        <v>11</v>
      </c>
      <c r="B13" s="92" t="inlineStr">
        <is>
          <t>10LAB10CP101</t>
        </is>
      </c>
      <c r="C13" s="89">
        <f>VLOOKUP($B13,'Tx Detail List'!$C:$T,2,FALSE)</f>
        <v/>
      </c>
      <c r="D13" s="102">
        <f>VLOOKUP($B13,'Tx Detail List'!$C:$T,4,FALSE)</f>
        <v/>
      </c>
      <c r="E13" s="102">
        <f>VLOOKUP($B13,'Tx Detail List'!$C:$T,5,FALSE)</f>
        <v/>
      </c>
      <c r="F13" s="102">
        <f>VLOOKUP($B13,'Tx Detail List'!$C:$T,6,FALSE)</f>
        <v/>
      </c>
      <c r="G13" s="102">
        <f>VLOOKUP($B13,'Tx Detail List'!$C:$T,7,FALSE)</f>
        <v/>
      </c>
      <c r="H13" s="102">
        <f>VLOOKUP($B13,'Tx Detail List'!$C:$T,8,FALSE)</f>
        <v/>
      </c>
      <c r="I13" s="102">
        <f>VLOOKUP($B13,'Tx Detail List'!$C:$T,9,FALSE)</f>
        <v/>
      </c>
      <c r="J13" s="102">
        <f>VLOOKUP($B13,'Tx Detail List'!$C:$T,10,FALSE)</f>
        <v/>
      </c>
      <c r="K13" s="102">
        <f>VLOOKUP($B13,'Tx Detail List'!$C:$T,11,FALSE)</f>
        <v/>
      </c>
    </row>
    <row r="14" ht="39.95" customFormat="1" customHeight="1" s="90">
      <c r="A14" s="91" t="n">
        <v>12</v>
      </c>
      <c r="B14" s="92" t="inlineStr">
        <is>
          <t>10LAB10CP102</t>
        </is>
      </c>
      <c r="C14" s="89">
        <f>VLOOKUP($B14,'Tx Detail List'!$C:$T,2,FALSE)</f>
        <v/>
      </c>
      <c r="D14" s="102">
        <f>VLOOKUP($B14,'Tx Detail List'!$C:$T,4,FALSE)</f>
        <v/>
      </c>
      <c r="E14" s="102">
        <f>VLOOKUP($B14,'Tx Detail List'!$C:$T,5,FALSE)</f>
        <v/>
      </c>
      <c r="F14" s="102">
        <f>VLOOKUP($B14,'Tx Detail List'!$C:$T,6,FALSE)</f>
        <v/>
      </c>
      <c r="G14" s="102">
        <f>VLOOKUP($B14,'Tx Detail List'!$C:$T,7,FALSE)</f>
        <v/>
      </c>
      <c r="H14" s="102">
        <f>VLOOKUP($B14,'Tx Detail List'!$C:$T,8,FALSE)</f>
        <v/>
      </c>
      <c r="I14" s="102">
        <f>VLOOKUP($B14,'Tx Detail List'!$C:$T,9,FALSE)</f>
        <v/>
      </c>
      <c r="J14" s="102">
        <f>VLOOKUP($B14,'Tx Detail List'!$C:$T,10,FALSE)</f>
        <v/>
      </c>
      <c r="K14" s="102">
        <f>VLOOKUP($B14,'Tx Detail List'!$C:$T,11,FALSE)</f>
        <v/>
      </c>
    </row>
    <row r="15" ht="39.95" customFormat="1" customHeight="1" s="90">
      <c r="A15" s="91" t="n">
        <v>13</v>
      </c>
      <c r="B15" s="92" t="inlineStr">
        <is>
          <t>10LAB11CP101</t>
        </is>
      </c>
      <c r="C15" s="89">
        <f>VLOOKUP($B15,'Tx Detail List'!$C:$T,2,FALSE)</f>
        <v/>
      </c>
      <c r="D15" s="102">
        <f>VLOOKUP($B15,'Tx Detail List'!$C:$T,4,FALSE)</f>
        <v/>
      </c>
      <c r="E15" s="102">
        <f>VLOOKUP($B15,'Tx Detail List'!$C:$T,5,FALSE)</f>
        <v/>
      </c>
      <c r="F15" s="102">
        <f>VLOOKUP($B15,'Tx Detail List'!$C:$T,6,FALSE)</f>
        <v/>
      </c>
      <c r="G15" s="102">
        <f>VLOOKUP($B15,'Tx Detail List'!$C:$T,7,FALSE)</f>
        <v/>
      </c>
      <c r="H15" s="102">
        <f>VLOOKUP($B15,'Tx Detail List'!$C:$T,8,FALSE)</f>
        <v/>
      </c>
      <c r="I15" s="102">
        <f>VLOOKUP($B15,'Tx Detail List'!$C:$T,9,FALSE)</f>
        <v/>
      </c>
      <c r="J15" s="102">
        <f>VLOOKUP($B15,'Tx Detail List'!$C:$T,10,FALSE)</f>
        <v/>
      </c>
      <c r="K15" s="102">
        <f>VLOOKUP($B15,'Tx Detail List'!$C:$T,11,FALSE)</f>
        <v/>
      </c>
    </row>
    <row r="16" ht="39.95" customFormat="1" customHeight="1" s="90">
      <c r="A16" s="91" t="n">
        <v>14</v>
      </c>
      <c r="B16" s="92" t="inlineStr">
        <is>
          <t>10LAB12CP101</t>
        </is>
      </c>
      <c r="C16" s="89">
        <f>VLOOKUP($B16,'Tx Detail List'!$C:$T,2,FALSE)</f>
        <v/>
      </c>
      <c r="D16" s="102">
        <f>VLOOKUP($B16,'Tx Detail List'!$C:$T,4,FALSE)</f>
        <v/>
      </c>
      <c r="E16" s="102">
        <f>VLOOKUP($B16,'Tx Detail List'!$C:$T,5,FALSE)</f>
        <v/>
      </c>
      <c r="F16" s="102">
        <f>VLOOKUP($B16,'Tx Detail List'!$C:$T,6,FALSE)</f>
        <v/>
      </c>
      <c r="G16" s="102">
        <f>VLOOKUP($B16,'Tx Detail List'!$C:$T,7,FALSE)</f>
        <v/>
      </c>
      <c r="H16" s="102">
        <f>VLOOKUP($B16,'Tx Detail List'!$C:$T,8,FALSE)</f>
        <v/>
      </c>
      <c r="I16" s="102">
        <f>VLOOKUP($B16,'Tx Detail List'!$C:$T,9,FALSE)</f>
        <v/>
      </c>
      <c r="J16" s="102">
        <f>VLOOKUP($B16,'Tx Detail List'!$C:$T,10,FALSE)</f>
        <v/>
      </c>
      <c r="K16" s="102">
        <f>VLOOKUP($B16,'Tx Detail List'!$C:$T,11,FALSE)</f>
        <v/>
      </c>
    </row>
    <row r="17" ht="39.95" customFormat="1" customHeight="1" s="90">
      <c r="A17" s="91" t="n">
        <v>15</v>
      </c>
      <c r="B17" s="92" t="inlineStr">
        <is>
          <t>10LAB13CP101</t>
        </is>
      </c>
      <c r="C17" s="89">
        <f>VLOOKUP($B17,'Tx Detail List'!$C:$T,2,FALSE)</f>
        <v/>
      </c>
      <c r="D17" s="102">
        <f>VLOOKUP($B17,'Tx Detail List'!$C:$T,4,FALSE)</f>
        <v/>
      </c>
      <c r="E17" s="102">
        <f>VLOOKUP($B17,'Tx Detail List'!$C:$T,5,FALSE)</f>
        <v/>
      </c>
      <c r="F17" s="102">
        <f>VLOOKUP($B17,'Tx Detail List'!$C:$T,6,FALSE)</f>
        <v/>
      </c>
      <c r="G17" s="102">
        <f>VLOOKUP($B17,'Tx Detail List'!$C:$T,7,FALSE)</f>
        <v/>
      </c>
      <c r="H17" s="102">
        <f>VLOOKUP($B17,'Tx Detail List'!$C:$T,8,FALSE)</f>
        <v/>
      </c>
      <c r="I17" s="102">
        <f>VLOOKUP($B17,'Tx Detail List'!$C:$T,9,FALSE)</f>
        <v/>
      </c>
      <c r="J17" s="102">
        <f>VLOOKUP($B17,'Tx Detail List'!$C:$T,10,FALSE)</f>
        <v/>
      </c>
      <c r="K17" s="102">
        <f>VLOOKUP($B17,'Tx Detail List'!$C:$T,11,FALSE)</f>
        <v/>
      </c>
    </row>
    <row r="18" ht="39.95" customFormat="1" customHeight="1" s="90">
      <c r="A18" s="91" t="n">
        <v>16</v>
      </c>
      <c r="B18" s="92" t="inlineStr">
        <is>
          <t>10LAB24CF101</t>
        </is>
      </c>
      <c r="C18" s="89">
        <f>VLOOKUP($B18,'Tx Detail List'!$C:$T,2,FALSE)</f>
        <v/>
      </c>
      <c r="D18" s="102">
        <f>VLOOKUP($B18,'Tx Detail List'!$C:$T,4,FALSE)</f>
        <v/>
      </c>
      <c r="E18" s="102">
        <f>VLOOKUP($B18,'Tx Detail List'!$C:$T,5,FALSE)</f>
        <v/>
      </c>
      <c r="F18" s="102">
        <f>VLOOKUP($B18,'Tx Detail List'!$C:$T,6,FALSE)</f>
        <v/>
      </c>
      <c r="G18" s="102">
        <f>VLOOKUP($B18,'Tx Detail List'!$C:$T,7,FALSE)</f>
        <v/>
      </c>
      <c r="H18" s="102">
        <f>VLOOKUP($B18,'Tx Detail List'!$C:$T,8,FALSE)</f>
        <v/>
      </c>
      <c r="I18" s="102">
        <f>VLOOKUP($B18,'Tx Detail List'!$C:$T,9,FALSE)</f>
        <v/>
      </c>
      <c r="J18" s="102">
        <f>VLOOKUP($B18,'Tx Detail List'!$C:$T,10,FALSE)</f>
        <v/>
      </c>
      <c r="K18" s="102">
        <f>VLOOKUP($B18,'Tx Detail List'!$C:$T,11,FALSE)</f>
        <v/>
      </c>
    </row>
    <row r="19" ht="39.95" customFormat="1" customHeight="1" s="90">
      <c r="A19" s="91" t="n">
        <v>17</v>
      </c>
      <c r="B19" s="92" t="inlineStr">
        <is>
          <t>10LAB30CP101</t>
        </is>
      </c>
      <c r="C19" s="89">
        <f>VLOOKUP($B19,'Tx Detail List'!$C:$T,2,FALSE)</f>
        <v/>
      </c>
      <c r="D19" s="102">
        <f>VLOOKUP($B19,'Tx Detail List'!$C:$T,4,FALSE)</f>
        <v/>
      </c>
      <c r="E19" s="102">
        <f>VLOOKUP($B19,'Tx Detail List'!$C:$T,5,FALSE)</f>
        <v/>
      </c>
      <c r="F19" s="102">
        <f>VLOOKUP($B19,'Tx Detail List'!$C:$T,6,FALSE)</f>
        <v/>
      </c>
      <c r="G19" s="102">
        <f>VLOOKUP($B19,'Tx Detail List'!$C:$T,7,FALSE)</f>
        <v/>
      </c>
      <c r="H19" s="102">
        <f>VLOOKUP($B19,'Tx Detail List'!$C:$T,8,FALSE)</f>
        <v/>
      </c>
      <c r="I19" s="102">
        <f>VLOOKUP($B19,'Tx Detail List'!$C:$T,9,FALSE)</f>
        <v/>
      </c>
      <c r="J19" s="102">
        <f>VLOOKUP($B19,'Tx Detail List'!$C:$T,10,FALSE)</f>
        <v/>
      </c>
      <c r="K19" s="102">
        <f>VLOOKUP($B19,'Tx Detail List'!$C:$T,11,FALSE)</f>
        <v/>
      </c>
    </row>
    <row r="20" ht="39.95" customFormat="1" customHeight="1" s="90">
      <c r="A20" s="91" t="n">
        <v>18</v>
      </c>
      <c r="B20" s="92" t="inlineStr">
        <is>
          <t>10LAB30CP102</t>
        </is>
      </c>
      <c r="C20" s="89">
        <f>VLOOKUP($B20,'Tx Detail List'!$C:$T,2,FALSE)</f>
        <v/>
      </c>
      <c r="D20" s="102">
        <f>VLOOKUP($B20,'Tx Detail List'!$C:$T,4,FALSE)</f>
        <v/>
      </c>
      <c r="E20" s="102">
        <f>VLOOKUP($B20,'Tx Detail List'!$C:$T,5,FALSE)</f>
        <v/>
      </c>
      <c r="F20" s="102">
        <f>VLOOKUP($B20,'Tx Detail List'!$C:$T,6,FALSE)</f>
        <v/>
      </c>
      <c r="G20" s="102">
        <f>VLOOKUP($B20,'Tx Detail List'!$C:$T,7,FALSE)</f>
        <v/>
      </c>
      <c r="H20" s="102">
        <f>VLOOKUP($B20,'Tx Detail List'!$C:$T,8,FALSE)</f>
        <v/>
      </c>
      <c r="I20" s="102">
        <f>VLOOKUP($B20,'Tx Detail List'!$C:$T,9,FALSE)</f>
        <v/>
      </c>
      <c r="J20" s="102">
        <f>VLOOKUP($B20,'Tx Detail List'!$C:$T,10,FALSE)</f>
        <v/>
      </c>
      <c r="K20" s="102">
        <f>VLOOKUP($B20,'Tx Detail List'!$C:$T,11,FALSE)</f>
        <v/>
      </c>
    </row>
    <row r="21" ht="39.95" customFormat="1" customHeight="1" s="90">
      <c r="A21" s="91" t="n">
        <v>19</v>
      </c>
      <c r="B21" s="92" t="inlineStr">
        <is>
          <t>10LAB31CP101</t>
        </is>
      </c>
      <c r="C21" s="89">
        <f>VLOOKUP($B21,'Tx Detail List'!$C:$T,2,FALSE)</f>
        <v/>
      </c>
      <c r="D21" s="102">
        <f>VLOOKUP($B21,'Tx Detail List'!$C:$T,4,FALSE)</f>
        <v/>
      </c>
      <c r="E21" s="102">
        <f>VLOOKUP($B21,'Tx Detail List'!$C:$T,5,FALSE)</f>
        <v/>
      </c>
      <c r="F21" s="102">
        <f>VLOOKUP($B21,'Tx Detail List'!$C:$T,6,FALSE)</f>
        <v/>
      </c>
      <c r="G21" s="102">
        <f>VLOOKUP($B21,'Tx Detail List'!$C:$T,7,FALSE)</f>
        <v/>
      </c>
      <c r="H21" s="102">
        <f>VLOOKUP($B21,'Tx Detail List'!$C:$T,8,FALSE)</f>
        <v/>
      </c>
      <c r="I21" s="102">
        <f>VLOOKUP($B21,'Tx Detail List'!$C:$T,9,FALSE)</f>
        <v/>
      </c>
      <c r="J21" s="102">
        <f>VLOOKUP($B21,'Tx Detail List'!$C:$T,10,FALSE)</f>
        <v/>
      </c>
      <c r="K21" s="102">
        <f>VLOOKUP($B21,'Tx Detail List'!$C:$T,11,FALSE)</f>
        <v/>
      </c>
    </row>
    <row r="22" ht="39.95" customFormat="1" customHeight="1" s="90" thickBot="1">
      <c r="A22" s="91" t="n">
        <v>20</v>
      </c>
      <c r="B22" s="93" t="inlineStr">
        <is>
          <t>10LAB32CP101</t>
        </is>
      </c>
      <c r="C22" s="89">
        <f>VLOOKUP($B22,'Tx Detail List'!$C:$T,2,FALSE)</f>
        <v/>
      </c>
      <c r="D22" s="102">
        <f>VLOOKUP($B22,'Tx Detail List'!$C:$T,4,FALSE)</f>
        <v/>
      </c>
      <c r="E22" s="102">
        <f>VLOOKUP($B22,'Tx Detail List'!$C:$T,5,FALSE)</f>
        <v/>
      </c>
      <c r="F22" s="102">
        <f>VLOOKUP($B22,'Tx Detail List'!$C:$T,6,FALSE)</f>
        <v/>
      </c>
      <c r="G22" s="102">
        <f>VLOOKUP($B22,'Tx Detail List'!$C:$T,7,FALSE)</f>
        <v/>
      </c>
      <c r="H22" s="102">
        <f>VLOOKUP($B22,'Tx Detail List'!$C:$T,8,FALSE)</f>
        <v/>
      </c>
      <c r="I22" s="102">
        <f>VLOOKUP($B22,'Tx Detail List'!$C:$T,9,FALSE)</f>
        <v/>
      </c>
      <c r="J22" s="102">
        <f>VLOOKUP($B22,'Tx Detail List'!$C:$T,10,FALSE)</f>
        <v/>
      </c>
      <c r="K22" s="102">
        <f>VLOOKUP($B22,'Tx Detail List'!$C:$T,11,FALSE)</f>
        <v/>
      </c>
    </row>
    <row r="23" ht="39.95" customFormat="1" customHeight="1" s="90" thickBot="1">
      <c r="A23" s="91" t="n">
        <v>21</v>
      </c>
      <c r="B23" s="93" t="inlineStr">
        <is>
          <t>10LAB33CP101</t>
        </is>
      </c>
      <c r="C23" s="89">
        <f>VLOOKUP($B23,'Tx Detail List'!$C:$T,2,FALSE)</f>
        <v/>
      </c>
      <c r="D23" s="102">
        <f>VLOOKUP($B23,'Tx Detail List'!$C:$T,4,FALSE)</f>
        <v/>
      </c>
      <c r="E23" s="102">
        <f>VLOOKUP($B23,'Tx Detail List'!$C:$T,5,FALSE)</f>
        <v/>
      </c>
      <c r="F23" s="102">
        <f>VLOOKUP($B23,'Tx Detail List'!$C:$T,6,FALSE)</f>
        <v/>
      </c>
      <c r="G23" s="102">
        <f>VLOOKUP($B23,'Tx Detail List'!$C:$T,7,FALSE)</f>
        <v/>
      </c>
      <c r="H23" s="102">
        <f>VLOOKUP($B23,'Tx Detail List'!$C:$T,8,FALSE)</f>
        <v/>
      </c>
      <c r="I23" s="102">
        <f>VLOOKUP($B23,'Tx Detail List'!$C:$T,9,FALSE)</f>
        <v/>
      </c>
      <c r="J23" s="102">
        <f>VLOOKUP($B23,'Tx Detail List'!$C:$T,10,FALSE)</f>
        <v/>
      </c>
      <c r="K23" s="102">
        <f>VLOOKUP($B23,'Tx Detail List'!$C:$T,11,FALSE)</f>
        <v/>
      </c>
    </row>
    <row r="24" ht="39.95" customFormat="1" customHeight="1" s="90">
      <c r="A24" s="91" t="n">
        <v>22</v>
      </c>
      <c r="B24" s="89" t="inlineStr">
        <is>
          <t>10LCA01CP102</t>
        </is>
      </c>
      <c r="C24" s="89">
        <f>VLOOKUP($B24,'Tx Detail List'!$C:$T,2,FALSE)</f>
        <v/>
      </c>
      <c r="D24" s="102">
        <f>VLOOKUP($B24,'Tx Detail List'!$C:$T,4,FALSE)</f>
        <v/>
      </c>
      <c r="E24" s="102">
        <f>VLOOKUP($B24,'Tx Detail List'!$C:$T,5,FALSE)</f>
        <v/>
      </c>
      <c r="F24" s="102">
        <f>VLOOKUP($B24,'Tx Detail List'!$C:$T,6,FALSE)</f>
        <v/>
      </c>
      <c r="G24" s="102">
        <f>VLOOKUP($B24,'Tx Detail List'!$C:$T,7,FALSE)</f>
        <v/>
      </c>
      <c r="H24" s="102">
        <f>VLOOKUP($B24,'Tx Detail List'!$C:$T,8,FALSE)</f>
        <v/>
      </c>
      <c r="I24" s="102">
        <f>VLOOKUP($B24,'Tx Detail List'!$C:$T,9,FALSE)</f>
        <v/>
      </c>
      <c r="J24" s="102">
        <f>VLOOKUP($B24,'Tx Detail List'!$C:$T,10,FALSE)</f>
        <v/>
      </c>
      <c r="K24" s="102">
        <f>VLOOKUP($B24,'Tx Detail List'!$C:$T,11,FALSE)</f>
        <v/>
      </c>
    </row>
    <row r="25" ht="39.95" customFormat="1" customHeight="1" s="90">
      <c r="A25" s="91" t="n">
        <v>23</v>
      </c>
      <c r="B25" s="92" t="inlineStr">
        <is>
          <t>10LCA02CP102</t>
        </is>
      </c>
      <c r="C25" s="89">
        <f>VLOOKUP($B25,'Tx Detail List'!$C:$T,2,FALSE)</f>
        <v/>
      </c>
      <c r="D25" s="102">
        <f>VLOOKUP($B25,'Tx Detail List'!$C:$T,4,FALSE)</f>
        <v/>
      </c>
      <c r="E25" s="102">
        <f>VLOOKUP($B25,'Tx Detail List'!$C:$T,5,FALSE)</f>
        <v/>
      </c>
      <c r="F25" s="102">
        <f>VLOOKUP($B25,'Tx Detail List'!$C:$T,6,FALSE)</f>
        <v/>
      </c>
      <c r="G25" s="102">
        <f>VLOOKUP($B25,'Tx Detail List'!$C:$T,7,FALSE)</f>
        <v/>
      </c>
      <c r="H25" s="102">
        <f>VLOOKUP($B25,'Tx Detail List'!$C:$T,8,FALSE)</f>
        <v/>
      </c>
      <c r="I25" s="102">
        <f>VLOOKUP($B25,'Tx Detail List'!$C:$T,9,FALSE)</f>
        <v/>
      </c>
      <c r="J25" s="102">
        <f>VLOOKUP($B25,'Tx Detail List'!$C:$T,10,FALSE)</f>
        <v/>
      </c>
      <c r="K25" s="102">
        <f>VLOOKUP($B25,'Tx Detail List'!$C:$T,11,FALSE)</f>
        <v/>
      </c>
    </row>
    <row r="26" ht="39.95" customFormat="1" customHeight="1" s="90">
      <c r="A26" s="91" t="n">
        <v>24</v>
      </c>
      <c r="B26" s="92" t="inlineStr">
        <is>
          <t>10LCA03CP102</t>
        </is>
      </c>
      <c r="C26" s="89">
        <f>VLOOKUP($B26,'Tx Detail List'!$C:$T,2,FALSE)</f>
        <v/>
      </c>
      <c r="D26" s="102">
        <f>VLOOKUP($B26,'Tx Detail List'!$C:$T,4,FALSE)</f>
        <v/>
      </c>
      <c r="E26" s="102">
        <f>VLOOKUP($B26,'Tx Detail List'!$C:$T,5,FALSE)</f>
        <v/>
      </c>
      <c r="F26" s="102">
        <f>VLOOKUP($B26,'Tx Detail List'!$C:$T,6,FALSE)</f>
        <v/>
      </c>
      <c r="G26" s="102">
        <f>VLOOKUP($B26,'Tx Detail List'!$C:$T,7,FALSE)</f>
        <v/>
      </c>
      <c r="H26" s="102">
        <f>VLOOKUP($B26,'Tx Detail List'!$C:$T,8,FALSE)</f>
        <v/>
      </c>
      <c r="I26" s="102">
        <f>VLOOKUP($B26,'Tx Detail List'!$C:$T,9,FALSE)</f>
        <v/>
      </c>
      <c r="J26" s="102">
        <f>VLOOKUP($B26,'Tx Detail List'!$C:$T,10,FALSE)</f>
        <v/>
      </c>
      <c r="K26" s="102">
        <f>VLOOKUP($B26,'Tx Detail List'!$C:$T,11,FALSE)</f>
        <v/>
      </c>
    </row>
    <row r="27" ht="39.95" customFormat="1" customHeight="1" s="90">
      <c r="A27" s="91" t="n">
        <v>25</v>
      </c>
      <c r="B27" s="92" t="inlineStr">
        <is>
          <t>10LCA10CF101</t>
        </is>
      </c>
      <c r="C27" s="89">
        <f>VLOOKUP($B27,'Tx Detail List'!$C:$T,2,FALSE)</f>
        <v/>
      </c>
      <c r="D27" s="102">
        <f>VLOOKUP($B27,'Tx Detail List'!$C:$T,4,FALSE)</f>
        <v/>
      </c>
      <c r="E27" s="102">
        <f>VLOOKUP($B27,'Tx Detail List'!$C:$T,5,FALSE)</f>
        <v/>
      </c>
      <c r="F27" s="102">
        <f>VLOOKUP($B27,'Tx Detail List'!$C:$T,6,FALSE)</f>
        <v/>
      </c>
      <c r="G27" s="102">
        <f>VLOOKUP($B27,'Tx Detail List'!$C:$T,7,FALSE)</f>
        <v/>
      </c>
      <c r="H27" s="102">
        <f>VLOOKUP($B27,'Tx Detail List'!$C:$T,8,FALSE)</f>
        <v/>
      </c>
      <c r="I27" s="102">
        <f>VLOOKUP($B27,'Tx Detail List'!$C:$T,9,FALSE)</f>
        <v/>
      </c>
      <c r="J27" s="102">
        <f>VLOOKUP($B27,'Tx Detail List'!$C:$T,10,FALSE)</f>
        <v/>
      </c>
      <c r="K27" s="102">
        <f>VLOOKUP($B27,'Tx Detail List'!$C:$T,11,FALSE)</f>
        <v/>
      </c>
    </row>
    <row r="28" ht="39.95" customFormat="1" customHeight="1" s="90">
      <c r="A28" s="91" t="n">
        <v>26</v>
      </c>
      <c r="B28" s="92" t="n"/>
      <c r="C28" s="89" t="n"/>
      <c r="D28" s="102" t="n"/>
      <c r="E28" s="102" t="n"/>
      <c r="F28" s="102" t="n"/>
      <c r="G28" s="102" t="n"/>
      <c r="H28" s="102" t="n"/>
      <c r="I28" s="102" t="n"/>
      <c r="J28" s="102" t="n"/>
      <c r="K28" s="102" t="n"/>
    </row>
    <row r="29" ht="39.95" customFormat="1" customHeight="1" s="90">
      <c r="A29" s="91" t="n">
        <v>27</v>
      </c>
      <c r="B29" s="92" t="n"/>
      <c r="C29" s="89" t="n"/>
      <c r="D29" s="102" t="n"/>
      <c r="E29" s="102" t="n"/>
      <c r="F29" s="102" t="n"/>
      <c r="G29" s="102" t="n"/>
      <c r="H29" s="102" t="n"/>
      <c r="I29" s="102" t="n"/>
      <c r="J29" s="102" t="n"/>
      <c r="K29" s="102" t="n"/>
    </row>
    <row r="30" ht="39.95" customFormat="1" customHeight="1" s="90">
      <c r="A30" s="91" t="n">
        <v>28</v>
      </c>
      <c r="B30" s="92" t="n"/>
      <c r="C30" s="89" t="n"/>
      <c r="D30" s="102" t="n"/>
      <c r="E30" s="102" t="n"/>
      <c r="F30" s="102" t="n"/>
      <c r="G30" s="102" t="n"/>
      <c r="H30" s="102" t="n"/>
      <c r="I30" s="102" t="n"/>
      <c r="J30" s="102" t="n"/>
      <c r="K30" s="102" t="n"/>
    </row>
    <row r="31" ht="39.95" customFormat="1" customHeight="1" s="90">
      <c r="A31" s="91" t="n">
        <v>29</v>
      </c>
      <c r="B31" s="92" t="n"/>
      <c r="C31" s="89" t="n"/>
      <c r="D31" s="102" t="n"/>
      <c r="E31" s="102" t="n"/>
      <c r="F31" s="102" t="n"/>
      <c r="G31" s="102" t="n"/>
      <c r="H31" s="102" t="n"/>
      <c r="I31" s="102" t="n"/>
      <c r="J31" s="102" t="n"/>
      <c r="K31" s="102" t="n"/>
    </row>
    <row r="32" ht="39.95" customFormat="1" customHeight="1" s="90">
      <c r="A32" s="91" t="n">
        <v>30</v>
      </c>
      <c r="B32" s="92" t="n"/>
      <c r="C32" s="89" t="n"/>
      <c r="D32" s="102" t="n"/>
      <c r="E32" s="102" t="n"/>
      <c r="F32" s="102" t="n"/>
      <c r="G32" s="102" t="n"/>
      <c r="H32" s="102" t="n"/>
      <c r="I32" s="102" t="n"/>
      <c r="J32" s="102" t="n"/>
      <c r="K32" s="102" t="n"/>
    </row>
    <row r="33" ht="39.95" customFormat="1" customHeight="1" s="90">
      <c r="A33" s="91" t="n">
        <v>31</v>
      </c>
      <c r="B33" s="92" t="n"/>
      <c r="C33" s="89" t="n"/>
      <c r="D33" s="102" t="n"/>
      <c r="E33" s="102" t="n"/>
      <c r="F33" s="102" t="n"/>
      <c r="G33" s="102" t="n"/>
      <c r="H33" s="102" t="n"/>
      <c r="I33" s="102" t="n"/>
      <c r="J33" s="102" t="n"/>
      <c r="K33" s="102" t="n"/>
    </row>
    <row r="34" ht="39.95" customFormat="1" customHeight="1" s="90">
      <c r="A34" s="91" t="n">
        <v>32</v>
      </c>
      <c r="B34" s="92" t="n"/>
      <c r="C34" s="89" t="n"/>
      <c r="D34" s="102" t="n"/>
      <c r="E34" s="102" t="n"/>
      <c r="F34" s="102" t="n"/>
      <c r="G34" s="102" t="n"/>
      <c r="H34" s="102" t="n"/>
      <c r="I34" s="102" t="n"/>
      <c r="J34" s="102" t="n"/>
      <c r="K34" s="102" t="n"/>
    </row>
    <row r="35" ht="39.95" customFormat="1" customHeight="1" s="90">
      <c r="A35" s="91" t="n">
        <v>33</v>
      </c>
      <c r="B35" s="92" t="n"/>
      <c r="C35" s="89" t="n"/>
      <c r="D35" s="102" t="n"/>
      <c r="E35" s="102" t="n"/>
      <c r="F35" s="102" t="n"/>
      <c r="G35" s="102" t="n"/>
      <c r="H35" s="102" t="n"/>
      <c r="I35" s="102" t="n"/>
      <c r="J35" s="102" t="n"/>
      <c r="K35" s="102" t="n"/>
    </row>
    <row r="36" ht="39.95" customFormat="1" customHeight="1" s="90">
      <c r="A36" s="91" t="n">
        <v>34</v>
      </c>
      <c r="B36" s="92" t="n"/>
      <c r="C36" s="89" t="n"/>
      <c r="D36" s="102" t="n"/>
      <c r="E36" s="102" t="n"/>
      <c r="F36" s="102" t="n"/>
      <c r="G36" s="102" t="n"/>
      <c r="H36" s="102" t="n"/>
      <c r="I36" s="102" t="n"/>
      <c r="J36" s="102" t="n"/>
      <c r="K36" s="102" t="n"/>
    </row>
    <row r="37" ht="39.95" customFormat="1" customHeight="1" s="90">
      <c r="A37" s="91" t="n">
        <v>35</v>
      </c>
      <c r="B37" s="92" t="n"/>
      <c r="C37" s="89" t="n"/>
      <c r="D37" s="102" t="n"/>
      <c r="E37" s="102" t="n"/>
      <c r="F37" s="102" t="n"/>
      <c r="G37" s="102" t="n"/>
      <c r="H37" s="102" t="n"/>
      <c r="I37" s="102" t="n"/>
      <c r="J37" s="102" t="n"/>
      <c r="K37" s="102" t="n"/>
    </row>
    <row r="38" ht="39.95" customFormat="1" customHeight="1" s="90">
      <c r="A38" s="91" t="n">
        <v>36</v>
      </c>
      <c r="B38" s="92" t="n"/>
      <c r="C38" s="89" t="n"/>
      <c r="D38" s="102" t="n"/>
      <c r="E38" s="102" t="n"/>
      <c r="F38" s="102" t="n"/>
      <c r="G38" s="102" t="n"/>
      <c r="H38" s="102" t="n"/>
      <c r="I38" s="102" t="n"/>
      <c r="J38" s="102" t="n"/>
      <c r="K38" s="102" t="n"/>
    </row>
    <row r="39" ht="39.95" customFormat="1" customHeight="1" s="90">
      <c r="A39" s="91" t="n">
        <v>37</v>
      </c>
      <c r="B39" s="92" t="n"/>
      <c r="C39" s="89" t="n"/>
      <c r="D39" s="102" t="n"/>
      <c r="E39" s="102" t="n"/>
      <c r="F39" s="102" t="n"/>
      <c r="G39" s="102" t="n"/>
      <c r="H39" s="102" t="n"/>
      <c r="I39" s="102" t="n"/>
      <c r="J39" s="102" t="n"/>
      <c r="K39" s="102" t="n"/>
    </row>
    <row r="40" ht="39.95" customFormat="1" customHeight="1" s="90">
      <c r="A40" s="91" t="n">
        <v>38</v>
      </c>
      <c r="B40" s="92" t="n"/>
      <c r="C40" s="89" t="n"/>
      <c r="D40" s="102" t="n"/>
      <c r="E40" s="102" t="n"/>
      <c r="F40" s="102" t="n"/>
      <c r="G40" s="102" t="n"/>
      <c r="H40" s="102" t="n"/>
      <c r="I40" s="102" t="n"/>
      <c r="J40" s="102" t="n"/>
      <c r="K40" s="102" t="n"/>
    </row>
    <row r="41" ht="39.95" customFormat="1" customHeight="1" s="90">
      <c r="A41" s="91" t="n">
        <v>39</v>
      </c>
      <c r="B41" s="92" t="n"/>
      <c r="C41" s="89" t="n"/>
      <c r="D41" s="102" t="n"/>
      <c r="E41" s="102" t="n"/>
      <c r="F41" s="102" t="n"/>
      <c r="G41" s="102" t="n"/>
      <c r="H41" s="102" t="n"/>
      <c r="I41" s="102" t="n"/>
      <c r="J41" s="102" t="n"/>
      <c r="K41" s="102" t="n"/>
    </row>
    <row r="42" ht="39.95" customFormat="1" customHeight="1" s="90">
      <c r="A42" s="91" t="n">
        <v>40</v>
      </c>
      <c r="B42" s="92" t="n"/>
      <c r="C42" s="89" t="n"/>
      <c r="D42" s="102" t="n"/>
      <c r="E42" s="102" t="n"/>
      <c r="F42" s="102" t="n"/>
      <c r="G42" s="102" t="n"/>
      <c r="H42" s="102" t="n"/>
      <c r="I42" s="102" t="n"/>
      <c r="J42" s="102" t="n"/>
      <c r="K42" s="102" t="n"/>
    </row>
    <row r="43" ht="39.95" customFormat="1" customHeight="1" s="90" thickBot="1">
      <c r="A43" s="91" t="n">
        <v>41</v>
      </c>
      <c r="B43" s="93" t="n"/>
      <c r="C43" s="89" t="n"/>
      <c r="D43" s="102" t="n"/>
      <c r="E43" s="102" t="n"/>
      <c r="F43" s="102" t="n"/>
      <c r="G43" s="102" t="n"/>
      <c r="H43" s="102" t="n"/>
      <c r="I43" s="102" t="n"/>
      <c r="J43" s="102" t="n"/>
      <c r="K43" s="102" t="n"/>
    </row>
    <row r="44" ht="39.95" customFormat="1" customHeight="1" s="90" thickBot="1">
      <c r="A44" s="91" t="n">
        <v>42</v>
      </c>
      <c r="B44" s="93" t="n"/>
      <c r="C44" s="89" t="n"/>
      <c r="D44" s="102" t="n"/>
      <c r="E44" s="102" t="n"/>
      <c r="F44" s="102" t="n"/>
      <c r="G44" s="102" t="n"/>
      <c r="H44" s="102" t="n"/>
      <c r="I44" s="102" t="n"/>
      <c r="J44" s="102" t="n"/>
      <c r="K44" s="102" t="n"/>
    </row>
    <row r="45" ht="39.95" customFormat="1" customHeight="1" s="90">
      <c r="A45" s="91" t="n">
        <v>43</v>
      </c>
      <c r="B45" s="89" t="n"/>
      <c r="C45" s="89" t="n"/>
      <c r="D45" s="102" t="n"/>
      <c r="E45" s="102" t="n"/>
      <c r="F45" s="102" t="n"/>
      <c r="G45" s="102" t="n"/>
      <c r="H45" s="102" t="n"/>
      <c r="I45" s="102" t="n"/>
      <c r="J45" s="102" t="n"/>
      <c r="K45" s="102" t="n"/>
    </row>
    <row r="46" ht="39.95" customFormat="1" customHeight="1" s="90">
      <c r="A46" s="91" t="n">
        <v>44</v>
      </c>
      <c r="B46" s="92" t="n"/>
      <c r="C46" s="89" t="n"/>
      <c r="D46" s="102" t="n"/>
      <c r="E46" s="102" t="n"/>
      <c r="F46" s="102" t="n"/>
      <c r="G46" s="102" t="n"/>
      <c r="H46" s="102" t="n"/>
      <c r="I46" s="102" t="n"/>
      <c r="J46" s="102" t="n"/>
      <c r="K46" s="102" t="n"/>
    </row>
    <row r="47" ht="39.95" customFormat="1" customHeight="1" s="90">
      <c r="A47" s="91" t="n">
        <v>45</v>
      </c>
      <c r="B47" s="92" t="n"/>
      <c r="C47" s="89" t="n"/>
      <c r="D47" s="102" t="n"/>
      <c r="E47" s="102" t="n"/>
      <c r="F47" s="102" t="n"/>
      <c r="G47" s="102" t="n"/>
      <c r="H47" s="102" t="n"/>
      <c r="I47" s="102" t="n"/>
      <c r="J47" s="102" t="n"/>
      <c r="K47" s="102" t="n"/>
    </row>
    <row r="48" ht="39.95" customFormat="1" customHeight="1" s="90">
      <c r="A48" s="91" t="n">
        <v>46</v>
      </c>
      <c r="B48" s="92" t="n"/>
      <c r="C48" s="89" t="n"/>
      <c r="D48" s="102" t="n"/>
      <c r="E48" s="102" t="n"/>
      <c r="F48" s="102" t="n"/>
      <c r="G48" s="102" t="n"/>
      <c r="H48" s="102" t="n"/>
      <c r="I48" s="102" t="n"/>
      <c r="J48" s="102" t="n"/>
      <c r="K48" s="102" t="n"/>
    </row>
    <row r="49" ht="39.95" customFormat="1" customHeight="1" s="90">
      <c r="A49" s="91" t="n">
        <v>47</v>
      </c>
      <c r="B49" s="92" t="n"/>
      <c r="C49" s="89" t="n"/>
      <c r="D49" s="102" t="n"/>
      <c r="E49" s="102" t="n"/>
      <c r="F49" s="102" t="n"/>
      <c r="G49" s="102" t="n"/>
      <c r="H49" s="102" t="n"/>
      <c r="I49" s="102" t="n"/>
      <c r="J49" s="102" t="n"/>
      <c r="K49" s="102" t="n"/>
    </row>
    <row r="50" ht="39.95" customFormat="1" customHeight="1" s="90">
      <c r="A50" s="91" t="n">
        <v>48</v>
      </c>
      <c r="B50" s="92" t="n"/>
      <c r="C50" s="89" t="n"/>
      <c r="D50" s="102" t="n"/>
      <c r="E50" s="102" t="n"/>
      <c r="F50" s="102" t="n"/>
      <c r="G50" s="102" t="n"/>
      <c r="H50" s="102" t="n"/>
      <c r="I50" s="102" t="n"/>
      <c r="J50" s="102" t="n"/>
      <c r="K50" s="102" t="n"/>
    </row>
    <row r="51" ht="39.95" customFormat="1" customHeight="1" s="90">
      <c r="A51" s="91" t="n">
        <v>49</v>
      </c>
      <c r="B51" s="92" t="n"/>
      <c r="C51" s="89" t="n"/>
      <c r="D51" s="102" t="n"/>
      <c r="E51" s="102" t="n"/>
      <c r="F51" s="102" t="n"/>
      <c r="G51" s="102" t="n"/>
      <c r="H51" s="102" t="n"/>
      <c r="I51" s="102" t="n"/>
      <c r="J51" s="102" t="n"/>
      <c r="K51" s="102" t="n"/>
    </row>
    <row r="52" ht="39.95" customFormat="1" customHeight="1" s="90">
      <c r="A52" s="91" t="n">
        <v>50</v>
      </c>
      <c r="B52" s="92" t="n"/>
      <c r="C52" s="89" t="n"/>
      <c r="D52" s="102" t="n"/>
      <c r="E52" s="102" t="n"/>
      <c r="F52" s="102" t="n"/>
      <c r="G52" s="102" t="n"/>
      <c r="H52" s="102" t="n"/>
      <c r="I52" s="102" t="n"/>
      <c r="J52" s="102" t="n"/>
      <c r="K52" s="102" t="n"/>
    </row>
    <row r="53" ht="39.95" customFormat="1" customHeight="1" s="90">
      <c r="A53" s="91" t="n">
        <v>51</v>
      </c>
      <c r="B53" s="92" t="n"/>
      <c r="C53" s="89" t="n"/>
      <c r="D53" s="102" t="n"/>
      <c r="E53" s="102" t="n"/>
      <c r="F53" s="102" t="n"/>
      <c r="G53" s="102" t="n"/>
      <c r="H53" s="102" t="n"/>
      <c r="I53" s="102" t="n"/>
      <c r="J53" s="102" t="n"/>
      <c r="K53" s="102" t="n"/>
    </row>
    <row r="54" ht="39.95" customFormat="1" customHeight="1" s="90">
      <c r="A54" s="91" t="n">
        <v>52</v>
      </c>
      <c r="B54" s="92" t="n"/>
      <c r="C54" s="89" t="n"/>
      <c r="D54" s="102" t="n"/>
      <c r="E54" s="102" t="n"/>
      <c r="F54" s="102" t="n"/>
      <c r="G54" s="102" t="n"/>
      <c r="H54" s="102" t="n"/>
      <c r="I54" s="102" t="n"/>
      <c r="J54" s="102" t="n"/>
      <c r="K54" s="102" t="n"/>
    </row>
    <row r="55" ht="39.95" customFormat="1" customHeight="1" s="90">
      <c r="A55" s="91" t="n">
        <v>53</v>
      </c>
      <c r="B55" s="92" t="n"/>
      <c r="C55" s="89" t="n"/>
      <c r="D55" s="102" t="n"/>
      <c r="E55" s="102" t="n"/>
      <c r="F55" s="102" t="n"/>
      <c r="G55" s="102" t="n"/>
      <c r="H55" s="102" t="n"/>
      <c r="I55" s="102" t="n"/>
      <c r="J55" s="102" t="n"/>
      <c r="K55" s="102" t="n"/>
    </row>
    <row r="56" ht="39.95" customFormat="1" customHeight="1" s="90">
      <c r="A56" s="91" t="n">
        <v>54</v>
      </c>
      <c r="B56" s="92" t="n"/>
      <c r="C56" s="89" t="n"/>
      <c r="D56" s="102" t="n"/>
      <c r="E56" s="102" t="n"/>
      <c r="F56" s="102" t="n"/>
      <c r="G56" s="102" t="n"/>
      <c r="H56" s="102" t="n"/>
      <c r="I56" s="102" t="n"/>
      <c r="J56" s="102" t="n"/>
      <c r="K56" s="102" t="n"/>
    </row>
    <row r="57" ht="39.95" customFormat="1" customHeight="1" s="90">
      <c r="A57" s="91" t="n">
        <v>55</v>
      </c>
      <c r="B57" s="92" t="n"/>
      <c r="C57" s="89" t="n"/>
      <c r="D57" s="102" t="n"/>
      <c r="E57" s="102" t="n"/>
      <c r="F57" s="102" t="n"/>
      <c r="G57" s="102" t="n"/>
      <c r="H57" s="102" t="n"/>
      <c r="I57" s="102" t="n"/>
      <c r="J57" s="102" t="n"/>
      <c r="K57" s="102" t="n"/>
    </row>
    <row r="58" ht="39.95" customFormat="1" customHeight="1" s="90">
      <c r="A58" s="91" t="n">
        <v>56</v>
      </c>
      <c r="B58" s="92" t="n"/>
      <c r="C58" s="89" t="n"/>
      <c r="D58" s="102" t="n"/>
      <c r="E58" s="102" t="n"/>
      <c r="F58" s="102" t="n"/>
      <c r="G58" s="102" t="n"/>
      <c r="H58" s="102" t="n"/>
      <c r="I58" s="102" t="n"/>
      <c r="J58" s="102" t="n"/>
      <c r="K58" s="102" t="n"/>
    </row>
    <row r="59" ht="39.95" customFormat="1" customHeight="1" s="90">
      <c r="A59" s="91" t="n">
        <v>57</v>
      </c>
      <c r="B59" s="92" t="n"/>
      <c r="C59" s="89" t="n"/>
      <c r="D59" s="102" t="n"/>
      <c r="E59" s="102" t="n"/>
      <c r="F59" s="102" t="n"/>
      <c r="G59" s="102" t="n"/>
      <c r="H59" s="102" t="n"/>
      <c r="I59" s="102" t="n"/>
      <c r="J59" s="102" t="n"/>
      <c r="K59" s="102" t="n"/>
    </row>
    <row r="60" ht="39.95" customFormat="1" customHeight="1" s="90">
      <c r="A60" s="91" t="n">
        <v>58</v>
      </c>
      <c r="B60" s="92" t="n"/>
      <c r="C60" s="89" t="n"/>
      <c r="D60" s="102" t="n"/>
      <c r="E60" s="102" t="n"/>
      <c r="F60" s="102" t="n"/>
      <c r="G60" s="102" t="n"/>
      <c r="H60" s="102" t="n"/>
      <c r="I60" s="102" t="n"/>
      <c r="J60" s="102" t="n"/>
      <c r="K60" s="102" t="n"/>
    </row>
    <row r="61" ht="39.95" customFormat="1" customHeight="1" s="90">
      <c r="A61" s="91" t="n">
        <v>59</v>
      </c>
      <c r="B61" s="92" t="n"/>
      <c r="C61" s="89" t="n"/>
      <c r="D61" s="102" t="n"/>
      <c r="E61" s="102" t="n"/>
      <c r="F61" s="102" t="n"/>
      <c r="G61" s="102" t="n"/>
      <c r="H61" s="102" t="n"/>
      <c r="I61" s="102" t="n"/>
      <c r="J61" s="102" t="n"/>
      <c r="K61" s="102" t="n"/>
    </row>
    <row r="62" ht="39.95" customFormat="1" customHeight="1" s="90">
      <c r="A62" s="91" t="n">
        <v>60</v>
      </c>
      <c r="B62" s="92" t="n"/>
      <c r="C62" s="89" t="n"/>
      <c r="D62" s="102" t="n"/>
      <c r="E62" s="102" t="n"/>
      <c r="F62" s="102" t="n"/>
      <c r="G62" s="102" t="n"/>
      <c r="H62" s="102" t="n"/>
      <c r="I62" s="102" t="n"/>
      <c r="J62" s="102" t="n"/>
      <c r="K62" s="102" t="n"/>
    </row>
    <row r="63" ht="39.95" customFormat="1" customHeight="1" s="90">
      <c r="A63" s="91" t="n">
        <v>61</v>
      </c>
      <c r="B63" s="92" t="n"/>
      <c r="C63" s="89" t="n"/>
      <c r="D63" s="102" t="n"/>
      <c r="E63" s="102" t="n"/>
      <c r="F63" s="102" t="n"/>
      <c r="G63" s="102" t="n"/>
      <c r="H63" s="102" t="n"/>
      <c r="I63" s="102" t="n"/>
      <c r="J63" s="102" t="n"/>
      <c r="K63" s="102" t="n"/>
    </row>
    <row r="64" ht="39.95" customFormat="1" customHeight="1" s="90" thickBot="1">
      <c r="A64" s="91" t="n">
        <v>62</v>
      </c>
      <c r="B64" s="93" t="n"/>
      <c r="C64" s="89" t="n"/>
      <c r="D64" s="102" t="n"/>
      <c r="E64" s="102" t="n"/>
      <c r="F64" s="102" t="n"/>
      <c r="G64" s="102" t="n"/>
      <c r="H64" s="102" t="n"/>
      <c r="I64" s="102" t="n"/>
      <c r="J64" s="102" t="n"/>
      <c r="K64" s="102" t="n"/>
    </row>
    <row r="65" ht="39.95" customFormat="1" customHeight="1" s="90" thickBot="1">
      <c r="A65" s="91" t="n">
        <v>63</v>
      </c>
      <c r="B65" s="93" t="n"/>
      <c r="C65" s="89" t="n"/>
      <c r="D65" s="102" t="n"/>
      <c r="E65" s="102" t="n"/>
      <c r="F65" s="102" t="n"/>
      <c r="G65" s="102" t="n"/>
      <c r="H65" s="102" t="n"/>
      <c r="I65" s="102" t="n"/>
      <c r="J65" s="102" t="n"/>
      <c r="K65" s="102" t="n"/>
    </row>
    <row r="66" ht="39.95" customFormat="1" customHeight="1" s="90">
      <c r="A66" s="91" t="n">
        <v>64</v>
      </c>
      <c r="B66" s="89" t="n"/>
      <c r="C66" s="89" t="n"/>
      <c r="D66" s="102" t="n"/>
      <c r="E66" s="102" t="n"/>
      <c r="F66" s="102" t="n"/>
      <c r="G66" s="102" t="n"/>
      <c r="H66" s="102" t="n"/>
      <c r="I66" s="102" t="n"/>
      <c r="J66" s="102" t="n"/>
      <c r="K66" s="102" t="n"/>
    </row>
    <row r="67" ht="39.95" customFormat="1" customHeight="1" s="90">
      <c r="A67" s="91" t="n">
        <v>65</v>
      </c>
      <c r="B67" s="92" t="n"/>
      <c r="C67" s="89" t="n"/>
      <c r="D67" s="102" t="n"/>
      <c r="E67" s="102" t="n"/>
      <c r="F67" s="102" t="n"/>
      <c r="G67" s="102" t="n"/>
      <c r="H67" s="102" t="n"/>
      <c r="I67" s="102" t="n"/>
      <c r="J67" s="102" t="n"/>
      <c r="K67" s="102" t="n"/>
    </row>
    <row r="68" ht="39.95" customFormat="1" customHeight="1" s="90">
      <c r="A68" s="91" t="n">
        <v>66</v>
      </c>
      <c r="B68" s="92" t="n"/>
      <c r="C68" s="89" t="n"/>
      <c r="D68" s="102" t="n"/>
      <c r="E68" s="102" t="n"/>
      <c r="F68" s="102" t="n"/>
      <c r="G68" s="102" t="n"/>
      <c r="H68" s="102" t="n"/>
      <c r="I68" s="102" t="n"/>
      <c r="J68" s="102" t="n"/>
      <c r="K68" s="102" t="n"/>
    </row>
    <row r="69" ht="39.95" customFormat="1" customHeight="1" s="90">
      <c r="A69" s="91" t="n">
        <v>67</v>
      </c>
      <c r="B69" s="92" t="n"/>
      <c r="C69" s="89" t="n"/>
      <c r="D69" s="102" t="n"/>
      <c r="E69" s="102" t="n"/>
      <c r="F69" s="102" t="n"/>
      <c r="G69" s="102" t="n"/>
      <c r="H69" s="102" t="n"/>
      <c r="I69" s="102" t="n"/>
      <c r="J69" s="102" t="n"/>
      <c r="K69" s="102" t="n"/>
    </row>
    <row r="70" ht="39.95" customFormat="1" customHeight="1" s="90">
      <c r="A70" s="91" t="n">
        <v>68</v>
      </c>
      <c r="B70" s="92" t="n"/>
      <c r="C70" s="89" t="n"/>
      <c r="D70" s="102" t="n"/>
      <c r="E70" s="102" t="n"/>
      <c r="F70" s="102" t="n"/>
      <c r="G70" s="102" t="n"/>
      <c r="H70" s="102" t="n"/>
      <c r="I70" s="102" t="n"/>
      <c r="J70" s="102" t="n"/>
      <c r="K70" s="102" t="n"/>
    </row>
    <row r="71" ht="39.95" customFormat="1" customHeight="1" s="90">
      <c r="A71" s="91" t="n">
        <v>69</v>
      </c>
      <c r="B71" s="92" t="n"/>
      <c r="C71" s="89" t="n"/>
      <c r="D71" s="102" t="n"/>
      <c r="E71" s="102" t="n"/>
      <c r="F71" s="102" t="n"/>
      <c r="G71" s="102" t="n"/>
      <c r="H71" s="102" t="n"/>
      <c r="I71" s="102" t="n"/>
      <c r="J71" s="102" t="n"/>
      <c r="K71" s="102" t="n"/>
    </row>
    <row r="72" ht="39.95" customFormat="1" customHeight="1" s="90">
      <c r="A72" s="91" t="n">
        <v>70</v>
      </c>
      <c r="B72" s="92" t="n"/>
      <c r="C72" s="89" t="n"/>
      <c r="D72" s="102" t="n"/>
      <c r="E72" s="102" t="n"/>
      <c r="F72" s="102" t="n"/>
      <c r="G72" s="102" t="n"/>
      <c r="H72" s="102" t="n"/>
      <c r="I72" s="102" t="n"/>
      <c r="J72" s="102" t="n"/>
      <c r="K72" s="102" t="n"/>
    </row>
    <row r="73" ht="39.95" customFormat="1" customHeight="1" s="90">
      <c r="A73" s="91" t="n">
        <v>71</v>
      </c>
      <c r="B73" s="92" t="n"/>
      <c r="C73" s="89" t="n"/>
      <c r="D73" s="102" t="n"/>
      <c r="E73" s="102" t="n"/>
      <c r="F73" s="102" t="n"/>
      <c r="G73" s="102" t="n"/>
      <c r="H73" s="102" t="n"/>
      <c r="I73" s="102" t="n"/>
      <c r="J73" s="102" t="n"/>
      <c r="K73" s="102" t="n"/>
    </row>
    <row r="74" ht="39.95" customFormat="1" customHeight="1" s="90">
      <c r="A74" s="91" t="n">
        <v>72</v>
      </c>
      <c r="B74" s="92" t="n"/>
      <c r="C74" s="89" t="n"/>
      <c r="D74" s="102" t="n"/>
      <c r="E74" s="102" t="n"/>
      <c r="F74" s="102" t="n"/>
      <c r="G74" s="102" t="n"/>
      <c r="H74" s="102" t="n"/>
      <c r="I74" s="102" t="n"/>
      <c r="J74" s="102" t="n"/>
      <c r="K74" s="102" t="n"/>
    </row>
    <row r="75" ht="39.95" customFormat="1" customHeight="1" s="90">
      <c r="A75" s="91" t="n">
        <v>73</v>
      </c>
      <c r="B75" s="92" t="n"/>
      <c r="C75" s="89" t="n"/>
      <c r="D75" s="102" t="n"/>
      <c r="E75" s="102" t="n"/>
      <c r="F75" s="102" t="n"/>
      <c r="G75" s="102" t="n"/>
      <c r="H75" s="102" t="n"/>
      <c r="I75" s="102" t="n"/>
      <c r="J75" s="102" t="n"/>
      <c r="K75" s="102" t="n"/>
    </row>
    <row r="76" ht="39.95" customFormat="1" customHeight="1" s="90">
      <c r="A76" s="91" t="n">
        <v>74</v>
      </c>
      <c r="B76" s="92" t="n"/>
      <c r="C76" s="92" t="n"/>
      <c r="D76" s="94" t="n"/>
      <c r="E76" s="94" t="n"/>
      <c r="F76" s="95" t="n"/>
      <c r="G76" s="95" t="n"/>
      <c r="H76" s="96" t="n"/>
      <c r="I76" s="96" t="n"/>
      <c r="J76" s="96" t="n"/>
      <c r="K76" s="97" t="n"/>
    </row>
    <row r="77" ht="39.95" customFormat="1" customHeight="1" s="90">
      <c r="A77" s="91" t="n">
        <v>75</v>
      </c>
      <c r="B77" s="92" t="n"/>
      <c r="C77" s="92" t="n"/>
      <c r="D77" s="94" t="n"/>
      <c r="E77" s="94" t="n"/>
      <c r="F77" s="95" t="n"/>
      <c r="G77" s="95" t="n"/>
      <c r="H77" s="96" t="n"/>
      <c r="I77" s="96" t="n"/>
      <c r="J77" s="96" t="n"/>
      <c r="K77" s="97" t="n"/>
    </row>
    <row r="78" ht="39.95" customFormat="1" customHeight="1" s="90">
      <c r="A78" s="91" t="n">
        <v>76</v>
      </c>
      <c r="B78" s="92" t="n"/>
      <c r="C78" s="92" t="n"/>
      <c r="D78" s="94" t="n"/>
      <c r="E78" s="94" t="n"/>
      <c r="F78" s="95" t="n"/>
      <c r="G78" s="95" t="n"/>
      <c r="H78" s="96" t="n"/>
      <c r="I78" s="96" t="n"/>
      <c r="J78" s="96" t="n"/>
      <c r="K78" s="97" t="n"/>
    </row>
    <row r="79" ht="39.95" customFormat="1" customHeight="1" s="90">
      <c r="A79" s="91" t="n">
        <v>77</v>
      </c>
      <c r="B79" s="92" t="n"/>
      <c r="C79" s="92" t="n"/>
      <c r="D79" s="94" t="n"/>
      <c r="E79" s="94" t="n"/>
      <c r="F79" s="95" t="n"/>
      <c r="G79" s="95" t="n"/>
      <c r="H79" s="96" t="n"/>
      <c r="I79" s="96" t="n"/>
      <c r="J79" s="96" t="n"/>
      <c r="K79" s="97" t="n"/>
    </row>
    <row r="80" ht="39.95" customFormat="1" customHeight="1" s="90">
      <c r="A80" s="91" t="n">
        <v>78</v>
      </c>
      <c r="B80" s="92" t="n"/>
      <c r="C80" s="92" t="n"/>
      <c r="D80" s="94" t="n"/>
      <c r="E80" s="94" t="n"/>
      <c r="F80" s="95" t="n"/>
      <c r="G80" s="95" t="n"/>
      <c r="H80" s="96" t="n"/>
      <c r="I80" s="96" t="n"/>
      <c r="J80" s="96" t="n"/>
      <c r="K80" s="97" t="n"/>
    </row>
    <row r="81" ht="39.95" customFormat="1" customHeight="1" s="90">
      <c r="A81" s="91" t="n">
        <v>79</v>
      </c>
      <c r="B81" s="92" t="n"/>
      <c r="C81" s="92" t="n"/>
      <c r="D81" s="94" t="n"/>
      <c r="E81" s="94" t="n"/>
      <c r="F81" s="95" t="n"/>
      <c r="G81" s="95" t="n"/>
      <c r="H81" s="96" t="n"/>
      <c r="I81" s="96" t="n"/>
      <c r="J81" s="96" t="n"/>
      <c r="K81" s="97" t="n"/>
    </row>
    <row r="82" ht="39.95" customFormat="1" customHeight="1" s="90">
      <c r="A82" s="91" t="n">
        <v>80</v>
      </c>
      <c r="B82" s="92" t="n"/>
      <c r="C82" s="92" t="n"/>
      <c r="D82" s="94" t="n"/>
      <c r="E82" s="94" t="n"/>
      <c r="F82" s="95" t="n"/>
      <c r="G82" s="95" t="n"/>
      <c r="H82" s="96" t="n"/>
      <c r="I82" s="96" t="n"/>
      <c r="J82" s="96" t="n"/>
      <c r="K82" s="97" t="n"/>
    </row>
    <row r="83" ht="39.95" customFormat="1" customHeight="1" s="90">
      <c r="A83" s="91" t="n">
        <v>81</v>
      </c>
      <c r="B83" s="92" t="n"/>
      <c r="C83" s="92" t="n"/>
      <c r="D83" s="94" t="n"/>
      <c r="E83" s="94" t="n"/>
      <c r="F83" s="95" t="n"/>
      <c r="G83" s="95" t="n"/>
      <c r="H83" s="96" t="n"/>
      <c r="I83" s="96" t="n"/>
      <c r="J83" s="96" t="n"/>
      <c r="K83" s="97" t="n"/>
    </row>
    <row r="84" ht="39.95" customFormat="1" customHeight="1" s="90">
      <c r="A84" s="91" t="n">
        <v>82</v>
      </c>
      <c r="B84" s="92" t="n"/>
      <c r="C84" s="92" t="n"/>
      <c r="D84" s="94" t="n"/>
      <c r="E84" s="94" t="n"/>
      <c r="F84" s="95" t="n"/>
      <c r="G84" s="95" t="n"/>
      <c r="H84" s="96" t="n"/>
      <c r="I84" s="96" t="n"/>
      <c r="J84" s="96" t="n"/>
      <c r="K84" s="97" t="n"/>
    </row>
    <row r="85" ht="39.95" customFormat="1" customHeight="1" s="90" thickBot="1">
      <c r="A85" s="91" t="n">
        <v>83</v>
      </c>
      <c r="B85" s="93" t="n"/>
      <c r="C85" s="93" t="n"/>
      <c r="D85" s="98" t="n"/>
      <c r="E85" s="98" t="n"/>
      <c r="F85" s="99" t="n"/>
      <c r="G85" s="99" t="n"/>
      <c r="H85" s="100" t="n"/>
      <c r="I85" s="100" t="n"/>
      <c r="J85" s="100" t="n"/>
      <c r="K85" s="101" t="n"/>
    </row>
    <row r="86" ht="39.95" customFormat="1" customHeight="1" s="38" thickBot="1">
      <c r="A86" s="56" t="inlineStr">
        <is>
          <t>No</t>
        </is>
      </c>
      <c r="B86" s="57" t="inlineStr">
        <is>
          <t>Functional
Location</t>
        </is>
      </c>
      <c r="C86" s="58" t="inlineStr">
        <is>
          <t>Description</t>
        </is>
      </c>
      <c r="D86" s="59" t="inlineStr">
        <is>
          <t>Sensor
LRV</t>
        </is>
      </c>
      <c r="E86" s="59" t="inlineStr">
        <is>
          <t>Sensor
URV</t>
        </is>
      </c>
      <c r="F86" s="59" t="inlineStr">
        <is>
          <t>Calibrated
LRV</t>
        </is>
      </c>
      <c r="G86" s="59" t="inlineStr">
        <is>
          <t>Calibrated
URV</t>
        </is>
      </c>
      <c r="H86" s="59" t="inlineStr">
        <is>
          <t>Unit</t>
        </is>
      </c>
      <c r="I86" s="59" t="inlineStr">
        <is>
          <t>Customer</t>
        </is>
      </c>
      <c r="J86" s="59" t="inlineStr">
        <is>
          <t>Sensor Model</t>
        </is>
      </c>
      <c r="K86" s="60" t="inlineStr">
        <is>
          <t>Tx
Serial No.</t>
        </is>
      </c>
    </row>
    <row r="87" ht="39.95" customFormat="1" customHeight="1" s="5">
      <c r="A87" s="50" t="n">
        <v>1</v>
      </c>
      <c r="B87" s="51" t="n"/>
      <c r="C87" s="51" t="n"/>
      <c r="D87" s="52" t="n"/>
      <c r="E87" s="52" t="n"/>
      <c r="F87" s="53" t="n"/>
      <c r="G87" s="53" t="n"/>
      <c r="H87" s="54" t="n"/>
      <c r="I87" s="54" t="n"/>
      <c r="J87" s="54" t="n"/>
      <c r="K87" s="55" t="n"/>
    </row>
    <row r="88" ht="39.95" customFormat="1" customHeight="1" s="5">
      <c r="A88" s="17" t="n">
        <v>2</v>
      </c>
      <c r="B88" s="14" t="n"/>
      <c r="C88" s="14" t="n"/>
      <c r="D88" s="2" t="n"/>
      <c r="E88" s="2" t="n"/>
      <c r="F88" s="41" t="n"/>
      <c r="G88" s="41" t="n"/>
      <c r="H88" s="42" t="n"/>
      <c r="I88" s="42" t="n"/>
      <c r="J88" s="42" t="n"/>
      <c r="K88" s="43" t="n"/>
    </row>
    <row r="89" ht="39.95" customFormat="1" customHeight="1" s="5">
      <c r="A89" s="17" t="n">
        <v>3</v>
      </c>
      <c r="B89" s="14" t="n"/>
      <c r="C89" s="14" t="n"/>
      <c r="D89" s="2" t="n"/>
      <c r="E89" s="2" t="n"/>
      <c r="F89" s="41" t="n"/>
      <c r="G89" s="41" t="n"/>
      <c r="H89" s="42" t="n"/>
      <c r="I89" s="42" t="n"/>
      <c r="J89" s="42" t="n"/>
      <c r="K89" s="43" t="n"/>
    </row>
    <row r="90" ht="39.95" customFormat="1" customHeight="1" s="5">
      <c r="A90" s="17" t="n">
        <v>4</v>
      </c>
      <c r="B90" s="14" t="n"/>
      <c r="C90" s="14" t="n"/>
      <c r="D90" s="2" t="n"/>
      <c r="E90" s="2" t="n"/>
      <c r="F90" s="41" t="n"/>
      <c r="G90" s="41" t="n"/>
      <c r="H90" s="42" t="n"/>
      <c r="I90" s="42" t="n"/>
      <c r="J90" s="42" t="n"/>
      <c r="K90" s="43" t="n"/>
    </row>
    <row r="91" ht="39.95" customFormat="1" customHeight="1" s="5">
      <c r="A91" s="17" t="n">
        <v>5</v>
      </c>
      <c r="B91" s="14" t="n"/>
      <c r="C91" s="14" t="n"/>
      <c r="D91" s="2" t="n"/>
      <c r="E91" s="2" t="n"/>
      <c r="F91" s="41" t="n"/>
      <c r="G91" s="41" t="n"/>
      <c r="H91" s="42" t="n"/>
      <c r="I91" s="42" t="n"/>
      <c r="J91" s="42" t="n"/>
      <c r="K91" s="43" t="n"/>
    </row>
    <row r="92" ht="39.95" customFormat="1" customHeight="1" s="5">
      <c r="A92" s="17" t="n">
        <v>6</v>
      </c>
      <c r="B92" s="14" t="n"/>
      <c r="C92" s="14" t="n"/>
      <c r="D92" s="2" t="n"/>
      <c r="E92" s="2" t="n"/>
      <c r="F92" s="41" t="n"/>
      <c r="G92" s="41" t="n"/>
      <c r="H92" s="42" t="n"/>
      <c r="I92" s="42" t="n"/>
      <c r="J92" s="42" t="n"/>
      <c r="K92" s="43" t="n"/>
    </row>
    <row r="93" ht="39.95" customFormat="1" customHeight="1" s="5">
      <c r="A93" s="17" t="n">
        <v>7</v>
      </c>
      <c r="B93" s="14" t="n"/>
      <c r="C93" s="14" t="n"/>
      <c r="D93" s="2" t="n"/>
      <c r="E93" s="2" t="n"/>
      <c r="F93" s="41" t="n"/>
      <c r="G93" s="41" t="n"/>
      <c r="H93" s="42" t="n"/>
      <c r="I93" s="42" t="n"/>
      <c r="J93" s="42" t="n"/>
      <c r="K93" s="43" t="n"/>
    </row>
    <row r="94" ht="39.95" customFormat="1" customHeight="1" s="5">
      <c r="A94" s="17" t="n">
        <v>8</v>
      </c>
      <c r="B94" s="14" t="n"/>
      <c r="C94" s="14" t="n"/>
      <c r="D94" s="2" t="n"/>
      <c r="E94" s="2" t="n"/>
      <c r="F94" s="41" t="n"/>
      <c r="G94" s="41" t="n"/>
      <c r="H94" s="42" t="n"/>
      <c r="I94" s="42" t="n"/>
      <c r="J94" s="42" t="n"/>
      <c r="K94" s="43" t="n"/>
    </row>
    <row r="95" ht="39.95" customFormat="1" customHeight="1" s="5">
      <c r="A95" s="17" t="n">
        <v>9</v>
      </c>
      <c r="B95" s="14" t="n"/>
      <c r="C95" s="14" t="n"/>
      <c r="D95" s="2" t="n"/>
      <c r="E95" s="2" t="n"/>
      <c r="F95" s="41" t="n"/>
      <c r="G95" s="41" t="n"/>
      <c r="H95" s="42" t="n"/>
      <c r="I95" s="42" t="n"/>
      <c r="J95" s="42" t="n"/>
      <c r="K95" s="43" t="n"/>
    </row>
    <row r="96" ht="39.95" customFormat="1" customHeight="1" s="5">
      <c r="A96" s="17" t="n">
        <v>10</v>
      </c>
      <c r="B96" s="14" t="n"/>
      <c r="C96" s="14" t="n"/>
      <c r="D96" s="2" t="n"/>
      <c r="E96" s="2" t="n"/>
      <c r="F96" s="41" t="n"/>
      <c r="G96" s="41" t="n"/>
      <c r="H96" s="42" t="n"/>
      <c r="I96" s="42" t="n"/>
      <c r="J96" s="42" t="n"/>
      <c r="K96" s="43" t="n"/>
    </row>
    <row r="97" ht="39.95" customFormat="1" customHeight="1" s="5">
      <c r="A97" s="17" t="n">
        <v>11</v>
      </c>
      <c r="B97" s="14" t="n"/>
      <c r="C97" s="14" t="n"/>
      <c r="D97" s="2" t="n"/>
      <c r="E97" s="2" t="n"/>
      <c r="F97" s="41" t="n"/>
      <c r="G97" s="41" t="n"/>
      <c r="H97" s="42" t="n"/>
      <c r="I97" s="42" t="n"/>
      <c r="J97" s="42" t="n"/>
      <c r="K97" s="43" t="n"/>
    </row>
    <row r="98" ht="39.95" customFormat="1" customHeight="1" s="5">
      <c r="A98" s="17" t="n">
        <v>12</v>
      </c>
      <c r="B98" s="14" t="n"/>
      <c r="C98" s="14" t="n"/>
      <c r="D98" s="2" t="n"/>
      <c r="E98" s="2" t="n"/>
      <c r="F98" s="41" t="n"/>
      <c r="G98" s="41" t="n"/>
      <c r="H98" s="42" t="n"/>
      <c r="I98" s="42" t="n"/>
      <c r="J98" s="42" t="n"/>
      <c r="K98" s="43" t="n"/>
    </row>
    <row r="99" ht="39.95" customFormat="1" customHeight="1" s="5">
      <c r="A99" s="17" t="n">
        <v>13</v>
      </c>
      <c r="B99" s="14" t="n"/>
      <c r="C99" s="14" t="n"/>
      <c r="D99" s="2" t="n"/>
      <c r="E99" s="2" t="n"/>
      <c r="F99" s="41" t="n"/>
      <c r="G99" s="41" t="n"/>
      <c r="H99" s="42" t="n"/>
      <c r="I99" s="42" t="n"/>
      <c r="J99" s="42" t="n"/>
      <c r="K99" s="43" t="n"/>
    </row>
    <row r="100" ht="39.95" customFormat="1" customHeight="1" s="5">
      <c r="A100" s="17" t="n">
        <v>14</v>
      </c>
      <c r="B100" s="14" t="n"/>
      <c r="C100" s="14" t="n"/>
      <c r="D100" s="2" t="n"/>
      <c r="E100" s="2" t="n"/>
      <c r="F100" s="41" t="n"/>
      <c r="G100" s="41" t="n"/>
      <c r="H100" s="42" t="n"/>
      <c r="I100" s="42" t="n"/>
      <c r="J100" s="42" t="n"/>
      <c r="K100" s="43" t="n"/>
    </row>
    <row r="101" ht="39.95" customFormat="1" customHeight="1" s="5">
      <c r="A101" s="17" t="n">
        <v>15</v>
      </c>
      <c r="B101" s="14" t="n"/>
      <c r="C101" s="14" t="n"/>
      <c r="D101" s="2" t="n"/>
      <c r="E101" s="2" t="n"/>
      <c r="F101" s="41" t="n"/>
      <c r="G101" s="41" t="n"/>
      <c r="H101" s="42" t="n"/>
      <c r="I101" s="42" t="n"/>
      <c r="J101" s="42" t="n"/>
      <c r="K101" s="43" t="n"/>
    </row>
    <row r="102" ht="39.95" customFormat="1" customHeight="1" s="5">
      <c r="A102" s="17" t="n">
        <v>16</v>
      </c>
      <c r="B102" s="14" t="n"/>
      <c r="C102" s="14" t="n"/>
      <c r="D102" s="2" t="n"/>
      <c r="E102" s="2" t="n"/>
      <c r="F102" s="41" t="n"/>
      <c r="G102" s="41" t="n"/>
      <c r="H102" s="42" t="n"/>
      <c r="I102" s="42" t="n"/>
      <c r="J102" s="42" t="n"/>
      <c r="K102" s="43" t="n"/>
    </row>
    <row r="103" ht="39.95" customFormat="1" customHeight="1" s="5">
      <c r="A103" s="17" t="n">
        <v>17</v>
      </c>
      <c r="B103" s="14" t="n"/>
      <c r="C103" s="14" t="n"/>
      <c r="D103" s="2" t="n"/>
      <c r="E103" s="2" t="n"/>
      <c r="F103" s="41" t="n"/>
      <c r="G103" s="41" t="n"/>
      <c r="H103" s="42" t="n"/>
      <c r="I103" s="42" t="n"/>
      <c r="J103" s="42" t="n"/>
      <c r="K103" s="43" t="n"/>
    </row>
    <row r="104" ht="39.95" customFormat="1" customHeight="1" s="5">
      <c r="A104" s="17" t="n">
        <v>18</v>
      </c>
      <c r="B104" s="14" t="n"/>
      <c r="C104" s="14" t="n"/>
      <c r="D104" s="2" t="n"/>
      <c r="E104" s="2" t="n"/>
      <c r="F104" s="41" t="n"/>
      <c r="G104" s="41" t="n"/>
      <c r="H104" s="42" t="n"/>
      <c r="I104" s="42" t="n"/>
      <c r="J104" s="42" t="n"/>
      <c r="K104" s="43" t="n"/>
    </row>
    <row r="105" ht="39.95" customFormat="1" customHeight="1" s="5">
      <c r="A105" s="17" t="n">
        <v>19</v>
      </c>
      <c r="B105" s="14" t="n"/>
      <c r="C105" s="14" t="n"/>
      <c r="D105" s="2" t="n"/>
      <c r="E105" s="2" t="n"/>
      <c r="F105" s="41" t="n"/>
      <c r="G105" s="41" t="n"/>
      <c r="H105" s="42" t="n"/>
      <c r="I105" s="42" t="n"/>
      <c r="J105" s="42" t="n"/>
      <c r="K105" s="43" t="n"/>
    </row>
    <row r="106" ht="39.95" customFormat="1" customHeight="1" s="5" thickBot="1">
      <c r="A106" s="44" t="n">
        <v>20</v>
      </c>
      <c r="B106" s="45" t="n"/>
      <c r="C106" s="45" t="n"/>
      <c r="D106" s="46" t="n"/>
      <c r="E106" s="46" t="n"/>
      <c r="F106" s="47" t="n"/>
      <c r="G106" s="47" t="n"/>
      <c r="H106" s="48" t="n"/>
      <c r="I106" s="48" t="n"/>
      <c r="J106" s="48" t="n"/>
      <c r="K106" s="49" t="n"/>
    </row>
    <row r="107" ht="39.95" customFormat="1" customHeight="1" s="38" thickBot="1">
      <c r="A107" s="56" t="inlineStr">
        <is>
          <t>No</t>
        </is>
      </c>
      <c r="B107" s="57" t="inlineStr">
        <is>
          <t>Functional
Location</t>
        </is>
      </c>
      <c r="C107" s="58" t="inlineStr">
        <is>
          <t>Description</t>
        </is>
      </c>
      <c r="D107" s="59" t="inlineStr">
        <is>
          <t>Sensor
LRV</t>
        </is>
      </c>
      <c r="E107" s="59" t="inlineStr">
        <is>
          <t>Sensor
URV</t>
        </is>
      </c>
      <c r="F107" s="59" t="inlineStr">
        <is>
          <t>Calibrated
LRV</t>
        </is>
      </c>
      <c r="G107" s="59" t="inlineStr">
        <is>
          <t>Calibrated
URV</t>
        </is>
      </c>
      <c r="H107" s="59" t="inlineStr">
        <is>
          <t>Unit</t>
        </is>
      </c>
      <c r="I107" s="59" t="inlineStr">
        <is>
          <t>Customer</t>
        </is>
      </c>
      <c r="J107" s="59" t="inlineStr">
        <is>
          <t>Sensor Model</t>
        </is>
      </c>
      <c r="K107" s="60" t="inlineStr">
        <is>
          <t>Tx
Serial No.</t>
        </is>
      </c>
    </row>
    <row r="108" ht="39.95" customFormat="1" customHeight="1" s="5">
      <c r="A108" s="50" t="n">
        <v>1</v>
      </c>
      <c r="B108" s="51" t="n"/>
      <c r="C108" s="51" t="n"/>
      <c r="D108" s="52" t="n"/>
      <c r="E108" s="52" t="n"/>
      <c r="F108" s="53" t="n"/>
      <c r="G108" s="53" t="n"/>
      <c r="H108" s="54" t="n"/>
      <c r="I108" s="54" t="n"/>
      <c r="J108" s="54" t="n"/>
      <c r="K108" s="55" t="n"/>
    </row>
    <row r="109" ht="39.95" customFormat="1" customHeight="1" s="5">
      <c r="A109" s="17" t="n">
        <v>2</v>
      </c>
      <c r="B109" s="14" t="n"/>
      <c r="C109" s="14" t="n"/>
      <c r="D109" s="2" t="n"/>
      <c r="E109" s="2" t="n"/>
      <c r="F109" s="41" t="n"/>
      <c r="G109" s="41" t="n"/>
      <c r="H109" s="42" t="n"/>
      <c r="I109" s="42" t="n"/>
      <c r="J109" s="42" t="n"/>
      <c r="K109" s="43" t="n"/>
    </row>
    <row r="110" ht="39.95" customFormat="1" customHeight="1" s="5">
      <c r="A110" s="17" t="n">
        <v>3</v>
      </c>
      <c r="B110" s="14" t="n"/>
      <c r="C110" s="14" t="n"/>
      <c r="D110" s="2" t="n"/>
      <c r="E110" s="2" t="n"/>
      <c r="F110" s="41" t="n"/>
      <c r="G110" s="41" t="n"/>
      <c r="H110" s="42" t="n"/>
      <c r="I110" s="42" t="n"/>
      <c r="J110" s="42" t="n"/>
      <c r="K110" s="43" t="n"/>
    </row>
    <row r="111" ht="39.95" customFormat="1" customHeight="1" s="5">
      <c r="A111" s="17" t="n">
        <v>4</v>
      </c>
      <c r="B111" s="14" t="n"/>
      <c r="C111" s="14" t="n"/>
      <c r="D111" s="2" t="n"/>
      <c r="E111" s="2" t="n"/>
      <c r="F111" s="41" t="n"/>
      <c r="G111" s="41" t="n"/>
      <c r="H111" s="42" t="n"/>
      <c r="I111" s="42" t="n"/>
      <c r="J111" s="42" t="n"/>
      <c r="K111" s="43" t="n"/>
    </row>
    <row r="112" ht="39.95" customFormat="1" customHeight="1" s="5">
      <c r="A112" s="17" t="n">
        <v>5</v>
      </c>
      <c r="B112" s="14" t="n"/>
      <c r="C112" s="14" t="n"/>
      <c r="D112" s="2" t="n"/>
      <c r="E112" s="2" t="n"/>
      <c r="F112" s="41" t="n"/>
      <c r="G112" s="41" t="n"/>
      <c r="H112" s="42" t="n"/>
      <c r="I112" s="42" t="n"/>
      <c r="J112" s="42" t="n"/>
      <c r="K112" s="43" t="n"/>
    </row>
    <row r="113" ht="39.95" customFormat="1" customHeight="1" s="5">
      <c r="A113" s="17" t="n">
        <v>6</v>
      </c>
      <c r="B113" s="14" t="n"/>
      <c r="C113" s="14" t="n"/>
      <c r="D113" s="2" t="n"/>
      <c r="E113" s="2" t="n"/>
      <c r="F113" s="41" t="n"/>
      <c r="G113" s="41" t="n"/>
      <c r="H113" s="42" t="n"/>
      <c r="I113" s="42" t="n"/>
      <c r="J113" s="42" t="n"/>
      <c r="K113" s="43" t="n"/>
    </row>
    <row r="114" ht="39.95" customFormat="1" customHeight="1" s="5">
      <c r="A114" s="17" t="n">
        <v>7</v>
      </c>
      <c r="B114" s="14" t="n"/>
      <c r="C114" s="14" t="n"/>
      <c r="D114" s="2" t="n"/>
      <c r="E114" s="2" t="n"/>
      <c r="F114" s="41" t="n"/>
      <c r="G114" s="41" t="n"/>
      <c r="H114" s="42" t="n"/>
      <c r="I114" s="42" t="n"/>
      <c r="J114" s="42" t="n"/>
      <c r="K114" s="43" t="n"/>
    </row>
    <row r="115" ht="39.95" customFormat="1" customHeight="1" s="5">
      <c r="A115" s="17" t="n">
        <v>8</v>
      </c>
      <c r="B115" s="14" t="n"/>
      <c r="C115" s="14" t="n"/>
      <c r="D115" s="2" t="n"/>
      <c r="E115" s="2" t="n"/>
      <c r="F115" s="41" t="n"/>
      <c r="G115" s="41" t="n"/>
      <c r="H115" s="42" t="n"/>
      <c r="I115" s="42" t="n"/>
      <c r="J115" s="42" t="n"/>
      <c r="K115" s="43" t="n"/>
    </row>
    <row r="116" ht="39.95" customFormat="1" customHeight="1" s="5">
      <c r="A116" s="17" t="n">
        <v>9</v>
      </c>
      <c r="B116" s="14" t="n"/>
      <c r="C116" s="14" t="n"/>
      <c r="D116" s="2" t="n"/>
      <c r="E116" s="2" t="n"/>
      <c r="F116" s="41" t="n"/>
      <c r="G116" s="41" t="n"/>
      <c r="H116" s="42" t="n"/>
      <c r="I116" s="42" t="n"/>
      <c r="J116" s="42" t="n"/>
      <c r="K116" s="43" t="n"/>
    </row>
    <row r="117" ht="39.95" customFormat="1" customHeight="1" s="5">
      <c r="A117" s="17" t="n">
        <v>10</v>
      </c>
      <c r="B117" s="14" t="n"/>
      <c r="C117" s="14" t="n"/>
      <c r="D117" s="2" t="n"/>
      <c r="E117" s="2" t="n"/>
      <c r="F117" s="41" t="n"/>
      <c r="G117" s="41" t="n"/>
      <c r="H117" s="42" t="n"/>
      <c r="I117" s="42" t="n"/>
      <c r="J117" s="42" t="n"/>
      <c r="K117" s="43" t="n"/>
    </row>
    <row r="118" ht="39.95" customFormat="1" customHeight="1" s="5">
      <c r="A118" s="17" t="n">
        <v>11</v>
      </c>
      <c r="B118" s="14" t="n"/>
      <c r="C118" s="14" t="n"/>
      <c r="D118" s="2" t="n"/>
      <c r="E118" s="2" t="n"/>
      <c r="F118" s="41" t="n"/>
      <c r="G118" s="41" t="n"/>
      <c r="H118" s="42" t="n"/>
      <c r="I118" s="42" t="n"/>
      <c r="J118" s="42" t="n"/>
      <c r="K118" s="43" t="n"/>
    </row>
    <row r="119" ht="39.95" customFormat="1" customHeight="1" s="5">
      <c r="A119" s="17" t="n">
        <v>12</v>
      </c>
      <c r="B119" s="14" t="n"/>
      <c r="C119" s="14" t="n"/>
      <c r="D119" s="2" t="n"/>
      <c r="E119" s="2" t="n"/>
      <c r="F119" s="41" t="n"/>
      <c r="G119" s="41" t="n"/>
      <c r="H119" s="42" t="n"/>
      <c r="I119" s="42" t="n"/>
      <c r="J119" s="42" t="n"/>
      <c r="K119" s="43" t="n"/>
    </row>
    <row r="120" ht="39.95" customFormat="1" customHeight="1" s="5">
      <c r="A120" s="17" t="n">
        <v>13</v>
      </c>
      <c r="B120" s="14" t="n"/>
      <c r="C120" s="14" t="n"/>
      <c r="D120" s="2" t="n"/>
      <c r="E120" s="2" t="n"/>
      <c r="F120" s="41" t="n"/>
      <c r="G120" s="41" t="n"/>
      <c r="H120" s="42" t="n"/>
      <c r="I120" s="42" t="n"/>
      <c r="J120" s="42" t="n"/>
      <c r="K120" s="43" t="n"/>
    </row>
    <row r="121" ht="39.95" customFormat="1" customHeight="1" s="5">
      <c r="A121" s="17" t="n">
        <v>14</v>
      </c>
      <c r="B121" s="14" t="n"/>
      <c r="C121" s="14" t="n"/>
      <c r="D121" s="2" t="n"/>
      <c r="E121" s="2" t="n"/>
      <c r="F121" s="41" t="n"/>
      <c r="G121" s="41" t="n"/>
      <c r="H121" s="42" t="n"/>
      <c r="I121" s="42" t="n"/>
      <c r="J121" s="42" t="n"/>
      <c r="K121" s="43" t="n"/>
    </row>
    <row r="122" ht="39.95" customFormat="1" customHeight="1" s="5">
      <c r="A122" s="17" t="n">
        <v>15</v>
      </c>
      <c r="B122" s="14" t="n"/>
      <c r="C122" s="14" t="n"/>
      <c r="D122" s="2" t="n"/>
      <c r="E122" s="2" t="n"/>
      <c r="F122" s="41" t="n"/>
      <c r="G122" s="41" t="n"/>
      <c r="H122" s="42" t="n"/>
      <c r="I122" s="42" t="n"/>
      <c r="J122" s="42" t="n"/>
      <c r="K122" s="43" t="n"/>
    </row>
    <row r="123" ht="39.95" customFormat="1" customHeight="1" s="5">
      <c r="A123" s="17" t="n">
        <v>16</v>
      </c>
      <c r="B123" s="14" t="n"/>
      <c r="C123" s="14" t="n"/>
      <c r="D123" s="2" t="n"/>
      <c r="E123" s="2" t="n"/>
      <c r="F123" s="41" t="n"/>
      <c r="G123" s="41" t="n"/>
      <c r="H123" s="42" t="n"/>
      <c r="I123" s="42" t="n"/>
      <c r="J123" s="42" t="n"/>
      <c r="K123" s="43" t="n"/>
    </row>
    <row r="124" ht="39.95" customFormat="1" customHeight="1" s="5">
      <c r="A124" s="17" t="n">
        <v>17</v>
      </c>
      <c r="B124" s="14" t="n"/>
      <c r="C124" s="14" t="n"/>
      <c r="D124" s="2" t="n"/>
      <c r="E124" s="2" t="n"/>
      <c r="F124" s="41" t="n"/>
      <c r="G124" s="41" t="n"/>
      <c r="H124" s="42" t="n"/>
      <c r="I124" s="42" t="n"/>
      <c r="J124" s="42" t="n"/>
      <c r="K124" s="43" t="n"/>
    </row>
    <row r="125" ht="39.95" customFormat="1" customHeight="1" s="5">
      <c r="A125" s="17" t="n">
        <v>18</v>
      </c>
      <c r="B125" s="14" t="n"/>
      <c r="C125" s="14" t="n"/>
      <c r="D125" s="2" t="n"/>
      <c r="E125" s="2" t="n"/>
      <c r="F125" s="41" t="n"/>
      <c r="G125" s="41" t="n"/>
      <c r="H125" s="42" t="n"/>
      <c r="I125" s="42" t="n"/>
      <c r="J125" s="42" t="n"/>
      <c r="K125" s="43" t="n"/>
    </row>
    <row r="126" ht="39.95" customFormat="1" customHeight="1" s="5">
      <c r="A126" s="17" t="n">
        <v>19</v>
      </c>
      <c r="B126" s="14" t="n"/>
      <c r="C126" s="14" t="n"/>
      <c r="D126" s="2" t="n"/>
      <c r="E126" s="2" t="n"/>
      <c r="F126" s="41" t="n"/>
      <c r="G126" s="41" t="n"/>
      <c r="H126" s="42" t="n"/>
      <c r="I126" s="42" t="n"/>
      <c r="J126" s="42" t="n"/>
      <c r="K126" s="43" t="n"/>
    </row>
    <row r="127" ht="39.95" customFormat="1" customHeight="1" s="5" thickBot="1">
      <c r="A127" s="44" t="n">
        <v>20</v>
      </c>
      <c r="B127" s="45" t="n"/>
      <c r="C127" s="45" t="n"/>
      <c r="D127" s="46" t="n"/>
      <c r="E127" s="46" t="n"/>
      <c r="F127" s="47" t="n"/>
      <c r="G127" s="47" t="n"/>
      <c r="H127" s="48" t="n"/>
      <c r="I127" s="48" t="n"/>
      <c r="J127" s="48" t="n"/>
      <c r="K127" s="49" t="n"/>
    </row>
    <row r="128" ht="39.95" customFormat="1" customHeight="1" s="38" thickBot="1">
      <c r="A128" s="56" t="inlineStr">
        <is>
          <t>No</t>
        </is>
      </c>
      <c r="B128" s="57" t="inlineStr">
        <is>
          <t>Functional
Location</t>
        </is>
      </c>
      <c r="C128" s="58" t="inlineStr">
        <is>
          <t>Description</t>
        </is>
      </c>
      <c r="D128" s="59" t="inlineStr">
        <is>
          <t>Sensor
LRV</t>
        </is>
      </c>
      <c r="E128" s="59" t="inlineStr">
        <is>
          <t>Sensor
URV</t>
        </is>
      </c>
      <c r="F128" s="59" t="inlineStr">
        <is>
          <t>Calibrated
LRV</t>
        </is>
      </c>
      <c r="G128" s="59" t="inlineStr">
        <is>
          <t>Calibrated
URV</t>
        </is>
      </c>
      <c r="H128" s="59" t="inlineStr">
        <is>
          <t>Unit</t>
        </is>
      </c>
      <c r="I128" s="59" t="inlineStr">
        <is>
          <t>Customer</t>
        </is>
      </c>
      <c r="J128" s="59" t="inlineStr">
        <is>
          <t>Sensor Model</t>
        </is>
      </c>
      <c r="K128" s="60" t="inlineStr">
        <is>
          <t>Tx
Serial No.</t>
        </is>
      </c>
    </row>
    <row r="129" ht="39.95" customFormat="1" customHeight="1" s="5">
      <c r="A129" s="50" t="n">
        <v>1</v>
      </c>
      <c r="B129" s="51" t="n"/>
      <c r="C129" s="51" t="n"/>
      <c r="D129" s="52" t="n"/>
      <c r="E129" s="52" t="n"/>
      <c r="F129" s="53" t="n"/>
      <c r="G129" s="53" t="n"/>
      <c r="H129" s="54" t="n"/>
      <c r="I129" s="54" t="n"/>
      <c r="J129" s="54" t="n"/>
      <c r="K129" s="55" t="n"/>
    </row>
    <row r="130" ht="39.95" customFormat="1" customHeight="1" s="5">
      <c r="A130" s="17" t="n">
        <v>2</v>
      </c>
      <c r="B130" s="14" t="n"/>
      <c r="C130" s="14" t="n"/>
      <c r="D130" s="2" t="n"/>
      <c r="E130" s="2" t="n"/>
      <c r="F130" s="41" t="n"/>
      <c r="G130" s="41" t="n"/>
      <c r="H130" s="42" t="n"/>
      <c r="I130" s="42" t="n"/>
      <c r="J130" s="42" t="n"/>
      <c r="K130" s="43" t="n"/>
    </row>
    <row r="131" ht="39.95" customFormat="1" customHeight="1" s="5">
      <c r="A131" s="17" t="n">
        <v>3</v>
      </c>
      <c r="B131" s="14" t="n"/>
      <c r="C131" s="14" t="n"/>
      <c r="D131" s="2" t="n"/>
      <c r="E131" s="2" t="n"/>
      <c r="F131" s="41" t="n"/>
      <c r="G131" s="41" t="n"/>
      <c r="H131" s="42" t="n"/>
      <c r="I131" s="42" t="n"/>
      <c r="J131" s="42" t="n"/>
      <c r="K131" s="43" t="n"/>
    </row>
    <row r="132" ht="39.95" customFormat="1" customHeight="1" s="5">
      <c r="A132" s="17" t="n">
        <v>4</v>
      </c>
      <c r="B132" s="14" t="n"/>
      <c r="C132" s="14" t="n"/>
      <c r="D132" s="2" t="n"/>
      <c r="E132" s="2" t="n"/>
      <c r="F132" s="41" t="n"/>
      <c r="G132" s="41" t="n"/>
      <c r="H132" s="42" t="n"/>
      <c r="I132" s="42" t="n"/>
      <c r="J132" s="42" t="n"/>
      <c r="K132" s="43" t="n"/>
    </row>
    <row r="133" ht="39.95" customFormat="1" customHeight="1" s="5">
      <c r="A133" s="17" t="n">
        <v>5</v>
      </c>
      <c r="B133" s="14" t="n"/>
      <c r="C133" s="14" t="n"/>
      <c r="D133" s="2" t="n"/>
      <c r="E133" s="2" t="n"/>
      <c r="F133" s="41" t="n"/>
      <c r="G133" s="41" t="n"/>
      <c r="H133" s="42" t="n"/>
      <c r="I133" s="42" t="n"/>
      <c r="J133" s="42" t="n"/>
      <c r="K133" s="43" t="n"/>
    </row>
    <row r="134" ht="39.95" customFormat="1" customHeight="1" s="5">
      <c r="A134" s="17" t="n">
        <v>6</v>
      </c>
      <c r="B134" s="14" t="n"/>
      <c r="C134" s="14" t="n"/>
      <c r="D134" s="2" t="n"/>
      <c r="E134" s="2" t="n"/>
      <c r="F134" s="41" t="n"/>
      <c r="G134" s="41" t="n"/>
      <c r="H134" s="42" t="n"/>
      <c r="I134" s="42" t="n"/>
      <c r="J134" s="42" t="n"/>
      <c r="K134" s="43" t="n"/>
    </row>
    <row r="135" ht="39.95" customFormat="1" customHeight="1" s="5">
      <c r="A135" s="17" t="n">
        <v>7</v>
      </c>
      <c r="B135" s="14" t="n"/>
      <c r="C135" s="14" t="n"/>
      <c r="D135" s="2" t="n"/>
      <c r="E135" s="2" t="n"/>
      <c r="F135" s="41" t="n"/>
      <c r="G135" s="41" t="n"/>
      <c r="H135" s="42" t="n"/>
      <c r="I135" s="42" t="n"/>
      <c r="J135" s="42" t="n"/>
      <c r="K135" s="43" t="n"/>
    </row>
    <row r="136" ht="39.95" customFormat="1" customHeight="1" s="5">
      <c r="A136" s="17" t="n">
        <v>8</v>
      </c>
      <c r="B136" s="14" t="n"/>
      <c r="C136" s="14" t="n"/>
      <c r="D136" s="2" t="n"/>
      <c r="E136" s="2" t="n"/>
      <c r="F136" s="41" t="n"/>
      <c r="G136" s="41" t="n"/>
      <c r="H136" s="42" t="n"/>
      <c r="I136" s="42" t="n"/>
      <c r="J136" s="42" t="n"/>
      <c r="K136" s="43" t="n"/>
    </row>
    <row r="137" ht="39.95" customFormat="1" customHeight="1" s="5">
      <c r="A137" s="17" t="n">
        <v>9</v>
      </c>
      <c r="B137" s="14" t="n"/>
      <c r="C137" s="14" t="n"/>
      <c r="D137" s="2" t="n"/>
      <c r="E137" s="2" t="n"/>
      <c r="F137" s="41" t="n"/>
      <c r="G137" s="41" t="n"/>
      <c r="H137" s="42" t="n"/>
      <c r="I137" s="42" t="n"/>
      <c r="J137" s="42" t="n"/>
      <c r="K137" s="43" t="n"/>
    </row>
    <row r="138" ht="39.95" customFormat="1" customHeight="1" s="5">
      <c r="A138" s="17" t="n">
        <v>10</v>
      </c>
      <c r="B138" s="14" t="n"/>
      <c r="C138" s="14" t="n"/>
      <c r="D138" s="2" t="n"/>
      <c r="E138" s="2" t="n"/>
      <c r="F138" s="41" t="n"/>
      <c r="G138" s="41" t="n"/>
      <c r="H138" s="42" t="n"/>
      <c r="I138" s="42" t="n"/>
      <c r="J138" s="42" t="n"/>
      <c r="K138" s="43" t="n"/>
    </row>
    <row r="139" ht="39.95" customFormat="1" customHeight="1" s="5">
      <c r="A139" s="17" t="n">
        <v>11</v>
      </c>
      <c r="B139" s="14" t="n"/>
      <c r="C139" s="14" t="n"/>
      <c r="D139" s="2" t="n"/>
      <c r="E139" s="2" t="n"/>
      <c r="F139" s="41" t="n"/>
      <c r="G139" s="41" t="n"/>
      <c r="H139" s="42" t="n"/>
      <c r="I139" s="42" t="n"/>
      <c r="J139" s="42" t="n"/>
      <c r="K139" s="43" t="n"/>
    </row>
    <row r="140" ht="39.95" customFormat="1" customHeight="1" s="5">
      <c r="A140" s="17" t="n">
        <v>12</v>
      </c>
      <c r="B140" s="14" t="n"/>
      <c r="C140" s="14" t="n"/>
      <c r="D140" s="2" t="n"/>
      <c r="E140" s="2" t="n"/>
      <c r="F140" s="41" t="n"/>
      <c r="G140" s="41" t="n"/>
      <c r="H140" s="42" t="n"/>
      <c r="I140" s="42" t="n"/>
      <c r="J140" s="42" t="n"/>
      <c r="K140" s="43" t="n"/>
    </row>
    <row r="141" ht="39.95" customFormat="1" customHeight="1" s="5">
      <c r="A141" s="17" t="n">
        <v>13</v>
      </c>
      <c r="B141" s="14" t="n"/>
      <c r="C141" s="14" t="n"/>
      <c r="D141" s="2" t="n"/>
      <c r="E141" s="2" t="n"/>
      <c r="F141" s="41" t="n"/>
      <c r="G141" s="41" t="n"/>
      <c r="H141" s="42" t="n"/>
      <c r="I141" s="42" t="n"/>
      <c r="J141" s="42" t="n"/>
      <c r="K141" s="43" t="n"/>
    </row>
    <row r="142" ht="39.95" customFormat="1" customHeight="1" s="5">
      <c r="A142" s="17" t="n">
        <v>14</v>
      </c>
      <c r="B142" s="14" t="n"/>
      <c r="C142" s="14" t="n"/>
      <c r="D142" s="2" t="n"/>
      <c r="E142" s="2" t="n"/>
      <c r="F142" s="41" t="n"/>
      <c r="G142" s="41" t="n"/>
      <c r="H142" s="42" t="n"/>
      <c r="I142" s="42" t="n"/>
      <c r="J142" s="42" t="n"/>
      <c r="K142" s="43" t="n"/>
    </row>
    <row r="143" ht="39.95" customFormat="1" customHeight="1" s="5">
      <c r="A143" s="17" t="n">
        <v>15</v>
      </c>
      <c r="B143" s="14" t="n"/>
      <c r="C143" s="14" t="n"/>
      <c r="D143" s="2" t="n"/>
      <c r="E143" s="2" t="n"/>
      <c r="F143" s="41" t="n"/>
      <c r="G143" s="41" t="n"/>
      <c r="H143" s="42" t="n"/>
      <c r="I143" s="42" t="n"/>
      <c r="J143" s="42" t="n"/>
      <c r="K143" s="43" t="n"/>
    </row>
    <row r="144" ht="39.95" customFormat="1" customHeight="1" s="5">
      <c r="A144" s="17" t="n">
        <v>16</v>
      </c>
      <c r="B144" s="14" t="n"/>
      <c r="C144" s="14" t="n"/>
      <c r="D144" s="2" t="n"/>
      <c r="E144" s="2" t="n"/>
      <c r="F144" s="41" t="n"/>
      <c r="G144" s="41" t="n"/>
      <c r="H144" s="42" t="n"/>
      <c r="I144" s="42" t="n"/>
      <c r="J144" s="42" t="n"/>
      <c r="K144" s="43" t="n"/>
    </row>
    <row r="145" ht="39.95" customFormat="1" customHeight="1" s="5">
      <c r="A145" s="17" t="n">
        <v>17</v>
      </c>
      <c r="B145" s="14" t="n"/>
      <c r="C145" s="14" t="n"/>
      <c r="D145" s="2" t="n"/>
      <c r="E145" s="2" t="n"/>
      <c r="F145" s="41" t="n"/>
      <c r="G145" s="41" t="n"/>
      <c r="H145" s="42" t="n"/>
      <c r="I145" s="42" t="n"/>
      <c r="J145" s="42" t="n"/>
      <c r="K145" s="43" t="n"/>
    </row>
    <row r="146" ht="39.95" customFormat="1" customHeight="1" s="5">
      <c r="A146" s="17" t="n">
        <v>18</v>
      </c>
      <c r="B146" s="14" t="n"/>
      <c r="C146" s="14" t="n"/>
      <c r="D146" s="2" t="n"/>
      <c r="E146" s="2" t="n"/>
      <c r="F146" s="41" t="n"/>
      <c r="G146" s="41" t="n"/>
      <c r="H146" s="42" t="n"/>
      <c r="I146" s="42" t="n"/>
      <c r="J146" s="42" t="n"/>
      <c r="K146" s="43" t="n"/>
    </row>
    <row r="147" ht="39.95" customFormat="1" customHeight="1" s="5">
      <c r="A147" s="17" t="n">
        <v>19</v>
      </c>
      <c r="B147" s="14" t="n"/>
      <c r="C147" s="14" t="n"/>
      <c r="D147" s="2" t="n"/>
      <c r="E147" s="2" t="n"/>
      <c r="F147" s="41" t="n"/>
      <c r="G147" s="41" t="n"/>
      <c r="H147" s="42" t="n"/>
      <c r="I147" s="42" t="n"/>
      <c r="J147" s="42" t="n"/>
      <c r="K147" s="43" t="n"/>
    </row>
    <row r="148" ht="39.95" customFormat="1" customHeight="1" s="5" thickBot="1">
      <c r="A148" s="44" t="n">
        <v>20</v>
      </c>
      <c r="B148" s="45" t="n"/>
      <c r="C148" s="45" t="n"/>
      <c r="D148" s="46" t="n"/>
      <c r="E148" s="46" t="n"/>
      <c r="F148" s="47" t="n"/>
      <c r="G148" s="47" t="n"/>
      <c r="H148" s="48" t="n"/>
      <c r="I148" s="48" t="n"/>
      <c r="J148" s="48" t="n"/>
      <c r="K148" s="49" t="n"/>
    </row>
  </sheetData>
  <conditionalFormatting sqref="A3:A85">
    <cfRule type="expression" priority="121" dxfId="1">
      <formula>#REF!="Calibrated"</formula>
    </cfRule>
  </conditionalFormatting>
  <conditionalFormatting sqref="A87:C106">
    <cfRule type="expression" priority="28" dxfId="1">
      <formula>#REF!="Calibrated"</formula>
    </cfRule>
  </conditionalFormatting>
  <conditionalFormatting sqref="A108:C127">
    <cfRule type="expression" priority="22" dxfId="1">
      <formula>#REF!="Calibrated"</formula>
    </cfRule>
  </conditionalFormatting>
  <conditionalFormatting sqref="A129:C148">
    <cfRule type="expression" priority="16" dxfId="1">
      <formula>#REF!="Calibrated"</formula>
    </cfRule>
  </conditionalFormatting>
  <conditionalFormatting sqref="B3:B22">
    <cfRule type="duplicateValues" priority="299" dxfId="0"/>
  </conditionalFormatting>
  <conditionalFormatting sqref="B4:B85">
    <cfRule type="expression" priority="2" dxfId="1">
      <formula>#REF!="Calibrated"</formula>
    </cfRule>
  </conditionalFormatting>
  <conditionalFormatting sqref="B23">
    <cfRule type="duplicateValues" priority="4" dxfId="0"/>
  </conditionalFormatting>
  <conditionalFormatting sqref="B24:B43">
    <cfRule type="duplicateValues" priority="50" dxfId="0"/>
  </conditionalFormatting>
  <conditionalFormatting sqref="B44">
    <cfRule type="duplicateValues" priority="7" dxfId="0"/>
  </conditionalFormatting>
  <conditionalFormatting sqref="B45:B64">
    <cfRule type="duplicateValues" priority="44" dxfId="0"/>
  </conditionalFormatting>
  <conditionalFormatting sqref="B65">
    <cfRule type="duplicateValues" priority="11" dxfId="0"/>
  </conditionalFormatting>
  <conditionalFormatting sqref="B66:B85">
    <cfRule type="duplicateValues" priority="38" dxfId="0"/>
  </conditionalFormatting>
  <conditionalFormatting sqref="B87:B106">
    <cfRule type="duplicateValues" priority="32" dxfId="0"/>
  </conditionalFormatting>
  <conditionalFormatting sqref="B108:B127">
    <cfRule type="duplicateValues" priority="26" dxfId="0"/>
  </conditionalFormatting>
  <conditionalFormatting sqref="B129:B148">
    <cfRule type="duplicateValues" priority="20" dxfId="0"/>
  </conditionalFormatting>
  <conditionalFormatting sqref="B3:K3 C4:K75">
    <cfRule type="expression" priority="293" dxfId="1">
      <formula>#REF!="Calibrated"</formula>
    </cfRule>
  </conditionalFormatting>
  <conditionalFormatting sqref="C1 E1 G1 I1 K1">
    <cfRule type="duplicateValues" priority="14" dxfId="0"/>
  </conditionalFormatting>
  <conditionalFormatting sqref="C76:C85">
    <cfRule type="expression" priority="36" dxfId="1">
      <formula>#REF!="Calibrated"</formula>
    </cfRule>
  </conditionalFormatting>
  <conditionalFormatting sqref="K2">
    <cfRule type="duplicateValues" priority="94" dxfId="0"/>
  </conditionalFormatting>
  <conditionalFormatting sqref="K76:K85">
    <cfRule type="duplicateValues" priority="37" dxfId="0"/>
  </conditionalFormatting>
  <conditionalFormatting sqref="K86">
    <cfRule type="duplicateValues" priority="27" dxfId="0"/>
  </conditionalFormatting>
  <conditionalFormatting sqref="K87:K106">
    <cfRule type="duplicateValues" priority="31" dxfId="0"/>
  </conditionalFormatting>
  <conditionalFormatting sqref="K107">
    <cfRule type="duplicateValues" priority="21" dxfId="0"/>
  </conditionalFormatting>
  <conditionalFormatting sqref="K108:K127">
    <cfRule type="duplicateValues" priority="25" dxfId="0"/>
  </conditionalFormatting>
  <conditionalFormatting sqref="K128">
    <cfRule type="duplicateValues" priority="15" dxfId="0"/>
  </conditionalFormatting>
  <conditionalFormatting sqref="K129:K148">
    <cfRule type="duplicateValues" priority="19" dxfId="0"/>
  </conditionalFormatting>
  <conditionalFormatting sqref="K149:K1048576">
    <cfRule type="duplicateValues" priority="296" dxfId="0"/>
  </conditionalFormatting>
  <conditionalFormatting sqref="M1">
    <cfRule type="duplicateValues" priority="13" dxfId="0"/>
  </conditionalFormatting>
  <pageMargins left="0.25" right="0.25" top="0.75" bottom="0.75" header="0.3" footer="0.3"/>
  <pageSetup orientation="landscape" paperSize="9" scale="46" fitToHeight="0"/>
  <headerFooter>
    <oddHeader/>
    <oddFooter>&amp;C&amp;"Calibri"&amp;10 &amp;K008000_x000d_# NOMAC | Public</oddFooter>
    <evenHeader/>
    <evenFooter/>
    <firstHeader/>
    <firstFooter/>
  </headerFooter>
  <rowBreaks count="5" manualBreakCount="5">
    <brk id="27" min="0" max="16" man="1"/>
    <brk id="54" min="0" max="16" man="1"/>
    <brk id="61" min="0" max="16383" man="1"/>
    <brk id="85" min="0" max="16383" man="1"/>
    <brk id="106" min="0" max="16383" man="1"/>
  </rowBreaks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AN435"/>
  <sheetViews>
    <sheetView view="pageBreakPreview" zoomScale="80" zoomScaleNormal="115" zoomScaleSheetLayoutView="80" zoomScalePageLayoutView="70" workbookViewId="0">
      <pane ySplit="2" topLeftCell="A166" activePane="bottomLeft" state="frozen"/>
      <selection pane="bottomLeft" activeCell="D115" sqref="D115"/>
    </sheetView>
  </sheetViews>
  <sheetFormatPr baseColWidth="8" defaultRowHeight="15"/>
  <cols>
    <col width="6.7109375" customWidth="1" min="1" max="1"/>
    <col width="8.5703125" customWidth="1" min="2" max="2"/>
    <col width="20.7109375" customWidth="1" style="34" min="3" max="3"/>
    <col width="47.140625" bestFit="1" customWidth="1" style="35" min="4" max="4"/>
    <col width="12.7109375" customWidth="1" style="85" min="5" max="5"/>
    <col width="12.7109375" customWidth="1" style="36" min="6" max="9"/>
    <col width="12.7109375" customWidth="1" style="35" min="10" max="10"/>
    <col width="16.5703125" bestFit="1" customWidth="1" style="36" min="11" max="11"/>
    <col width="12.7109375" customWidth="1" style="36" min="12" max="12"/>
    <col width="12.7109375" customWidth="1" style="35" min="13" max="14"/>
    <col width="12.7109375" customWidth="1" min="15" max="15"/>
    <col width="8.7109375" customWidth="1" min="16" max="16"/>
    <col width="8.7109375" customWidth="1" style="36" min="17" max="17"/>
    <col width="30.42578125" customWidth="1" style="36" min="18" max="18"/>
    <col width="20.7109375" customWidth="1" style="36" min="19" max="19"/>
    <col width="53.7109375" customWidth="1" style="35" min="20" max="20"/>
  </cols>
  <sheetData>
    <row r="1" ht="15.75" customHeight="1" thickBot="1">
      <c r="A1" s="5" t="n"/>
      <c r="B1" s="5" t="n"/>
      <c r="C1" s="5" t="n">
        <v>1</v>
      </c>
      <c r="D1" s="5" t="n">
        <v>2</v>
      </c>
      <c r="E1" s="5" t="n">
        <v>3</v>
      </c>
      <c r="F1" s="5" t="n">
        <v>4</v>
      </c>
      <c r="G1" s="5" t="n">
        <v>5</v>
      </c>
      <c r="H1" s="5" t="n">
        <v>6</v>
      </c>
      <c r="I1" s="5" t="n">
        <v>7</v>
      </c>
      <c r="J1" s="5" t="n">
        <v>8</v>
      </c>
      <c r="K1" s="5" t="n">
        <v>9</v>
      </c>
      <c r="L1" s="5" t="n">
        <v>10</v>
      </c>
      <c r="M1" s="5" t="n">
        <v>11</v>
      </c>
      <c r="Q1" s="5" t="n">
        <v>15</v>
      </c>
      <c r="R1" s="5" t="n"/>
    </row>
    <row r="2" ht="81" customHeight="1">
      <c r="A2" s="7" t="inlineStr">
        <is>
          <t>No</t>
        </is>
      </c>
      <c r="B2" s="83" t="inlineStr">
        <is>
          <t>Group</t>
        </is>
      </c>
      <c r="C2" s="23" t="inlineStr">
        <is>
          <t>Functional
Location</t>
        </is>
      </c>
      <c r="D2" s="9" t="inlineStr">
        <is>
          <t>Description</t>
        </is>
      </c>
      <c r="E2" s="10" t="inlineStr">
        <is>
          <t>Calibration
Date</t>
        </is>
      </c>
      <c r="F2" s="10" t="inlineStr">
        <is>
          <t>Sensor
LRV</t>
        </is>
      </c>
      <c r="G2" s="10" t="inlineStr">
        <is>
          <t>Sensor
URV</t>
        </is>
      </c>
      <c r="H2" s="10" t="inlineStr">
        <is>
          <t>Calibrated
LRV</t>
        </is>
      </c>
      <c r="I2" s="10" t="inlineStr">
        <is>
          <t>Calibrated
URV</t>
        </is>
      </c>
      <c r="J2" s="10" t="inlineStr">
        <is>
          <t>Unit</t>
        </is>
      </c>
      <c r="K2" s="10" t="inlineStr">
        <is>
          <t>Customer</t>
        </is>
      </c>
      <c r="L2" s="10" t="inlineStr">
        <is>
          <t>Sensor Model</t>
        </is>
      </c>
      <c r="M2" s="10" t="inlineStr">
        <is>
          <t>Tx
Serial No.</t>
        </is>
      </c>
      <c r="N2" s="11" t="inlineStr">
        <is>
          <t>Tx
Status</t>
        </is>
      </c>
      <c r="O2" s="12" t="inlineStr">
        <is>
          <t>SAP Ekipman Kodu</t>
        </is>
      </c>
      <c r="P2" s="6" t="inlineStr">
        <is>
          <t>Order Type</t>
        </is>
      </c>
      <c r="Q2" s="11" t="inlineStr">
        <is>
          <t>SAP
Status</t>
        </is>
      </c>
      <c r="R2" s="24" t="inlineStr">
        <is>
          <t>Full Model Number</t>
        </is>
      </c>
      <c r="S2" s="24" t="inlineStr">
        <is>
          <t>Panel KKS</t>
        </is>
      </c>
      <c r="T2" s="13" t="inlineStr">
        <is>
          <t>Comments</t>
        </is>
      </c>
    </row>
    <row r="3" ht="35.1" customFormat="1" customHeight="1" s="5">
      <c r="A3" s="17" t="n">
        <v>1</v>
      </c>
      <c r="B3" s="17" t="inlineStr">
        <is>
          <t>KIPP00</t>
        </is>
      </c>
      <c r="C3" s="14" t="inlineStr">
        <is>
          <t>00GHC01CP101</t>
        </is>
      </c>
      <c r="D3" s="14" t="inlineStr">
        <is>
          <t>DEMIN WATER PUMP-A SUCTION PRESS.</t>
        </is>
      </c>
      <c r="E3" s="84" t="n"/>
      <c r="F3" s="75" t="n">
        <v>-1</v>
      </c>
      <c r="G3" s="75" t="n">
        <v>20</v>
      </c>
      <c r="H3" s="39" t="n">
        <v>-1</v>
      </c>
      <c r="I3" s="39" t="n">
        <v>4</v>
      </c>
      <c r="J3" s="4" t="inlineStr">
        <is>
          <t>Bar</t>
        </is>
      </c>
      <c r="K3" s="33" t="inlineStr">
        <is>
          <t>YOKOGAWA</t>
        </is>
      </c>
      <c r="L3" s="33" t="inlineStr">
        <is>
          <t>EJA530E</t>
        </is>
      </c>
      <c r="M3" s="20" t="inlineStr">
        <is>
          <t>91S313262</t>
        </is>
      </c>
      <c r="N3" s="2">
        <f>IF(E3="","Waiting","Calibrated")</f>
        <v/>
      </c>
      <c r="O3" s="2" t="n">
        <v>10291821</v>
      </c>
      <c r="P3" s="2" t="inlineStr">
        <is>
          <t>ZM06</t>
        </is>
      </c>
      <c r="Q3" s="2" t="n"/>
      <c r="R3" s="28" t="n"/>
      <c r="S3" s="28" t="n"/>
      <c r="T3" s="29" t="n"/>
      <c r="U3" s="82" t="n"/>
    </row>
    <row r="4" ht="35.1" customFormat="1" customHeight="1" s="5">
      <c r="A4" s="17" t="n">
        <v>2</v>
      </c>
      <c r="B4" s="17" t="inlineStr">
        <is>
          <t>KIPP00</t>
        </is>
      </c>
      <c r="C4" s="14" t="inlineStr">
        <is>
          <t>00GHC01CP102</t>
        </is>
      </c>
      <c r="D4" s="14" t="inlineStr">
        <is>
          <t>DEMIN WATER PUMP-A SUCTION FILTER DP</t>
        </is>
      </c>
      <c r="E4" s="84" t="n"/>
      <c r="F4" s="75" t="n">
        <v>-5000</v>
      </c>
      <c r="G4" s="75" t="n">
        <v>5000</v>
      </c>
      <c r="H4" s="39" t="n">
        <v>0</v>
      </c>
      <c r="I4" s="39" t="n">
        <v>1500</v>
      </c>
      <c r="J4" s="4" t="inlineStr">
        <is>
          <t>mBar</t>
        </is>
      </c>
      <c r="K4" s="33" t="inlineStr">
        <is>
          <t>YOKOGAWA</t>
        </is>
      </c>
      <c r="L4" s="33" t="inlineStr">
        <is>
          <t>EJA110E</t>
        </is>
      </c>
      <c r="M4" s="20" t="inlineStr">
        <is>
          <t>91S313090</t>
        </is>
      </c>
      <c r="N4" s="2">
        <f>IF(E4="","Waiting","Calibrated")</f>
        <v/>
      </c>
      <c r="O4" s="2" t="n">
        <v>10291822</v>
      </c>
      <c r="P4" s="2" t="inlineStr">
        <is>
          <t>ZM06</t>
        </is>
      </c>
      <c r="Q4" s="2" t="n"/>
      <c r="R4" s="28" t="n"/>
      <c r="S4" s="28" t="n"/>
      <c r="T4" s="29" t="n"/>
    </row>
    <row r="5" ht="35.1" customFormat="1" customHeight="1" s="5">
      <c r="A5" s="17" t="n">
        <v>3</v>
      </c>
      <c r="B5" s="17" t="inlineStr">
        <is>
          <t>KIPP00</t>
        </is>
      </c>
      <c r="C5" s="14" t="inlineStr">
        <is>
          <t>00GHC02CP101</t>
        </is>
      </c>
      <c r="D5" s="14" t="inlineStr">
        <is>
          <t>DEMIN WATER PUMP-B SUCTION PRESS.</t>
        </is>
      </c>
      <c r="E5" s="84" t="n"/>
      <c r="F5" s="75" t="n">
        <v>-1</v>
      </c>
      <c r="G5" s="75" t="n">
        <v>20</v>
      </c>
      <c r="H5" s="39" t="n">
        <v>-1</v>
      </c>
      <c r="I5" s="39" t="n">
        <v>4</v>
      </c>
      <c r="J5" s="4" t="inlineStr">
        <is>
          <t>Bar</t>
        </is>
      </c>
      <c r="K5" s="33" t="inlineStr">
        <is>
          <t>YOKOGAWA</t>
        </is>
      </c>
      <c r="L5" s="33" t="inlineStr">
        <is>
          <t>EJA530E</t>
        </is>
      </c>
      <c r="M5" s="20" t="inlineStr">
        <is>
          <t>91S313263</t>
        </is>
      </c>
      <c r="N5" s="2">
        <f>IF(E5="","Waiting","Calibrated")</f>
        <v/>
      </c>
      <c r="O5" s="2" t="n">
        <v>10295565</v>
      </c>
      <c r="P5" s="2" t="inlineStr">
        <is>
          <t>ZM06</t>
        </is>
      </c>
      <c r="Q5" s="2" t="n"/>
      <c r="R5" s="28" t="n"/>
      <c r="S5" s="28" t="inlineStr">
        <is>
          <t>10LAA00GH101</t>
        </is>
      </c>
      <c r="T5" s="29" t="inlineStr">
        <is>
          <t>Atm. Basıncı 0,935 Bar</t>
        </is>
      </c>
    </row>
    <row r="6" ht="35.1" customFormat="1" customHeight="1" s="5">
      <c r="A6" s="17" t="n">
        <v>4</v>
      </c>
      <c r="B6" s="17" t="inlineStr">
        <is>
          <t>KIPP00</t>
        </is>
      </c>
      <c r="C6" s="14" t="inlineStr">
        <is>
          <t>00GHC02CP102</t>
        </is>
      </c>
      <c r="D6" s="14" t="inlineStr">
        <is>
          <t>DEMIN WATER PUMP-B SUCTION FILTER DP</t>
        </is>
      </c>
      <c r="E6" s="84" t="n"/>
      <c r="F6" s="75" t="n">
        <v>-5000</v>
      </c>
      <c r="G6" s="75" t="n">
        <v>5000</v>
      </c>
      <c r="H6" s="39" t="n">
        <v>0</v>
      </c>
      <c r="I6" s="39" t="n">
        <v>1500</v>
      </c>
      <c r="J6" s="4" t="inlineStr">
        <is>
          <t>mBar</t>
        </is>
      </c>
      <c r="K6" s="33" t="inlineStr">
        <is>
          <t>YOKOGAWA</t>
        </is>
      </c>
      <c r="L6" s="33" t="inlineStr">
        <is>
          <t>EJA110E</t>
        </is>
      </c>
      <c r="M6" s="20" t="inlineStr">
        <is>
          <t>91S313091</t>
        </is>
      </c>
      <c r="N6" s="2">
        <f>IF(E6="","Waiting","Calibrated")</f>
        <v/>
      </c>
      <c r="O6" s="2" t="n">
        <v>10295566</v>
      </c>
      <c r="P6" s="2" t="inlineStr">
        <is>
          <t>ZM06</t>
        </is>
      </c>
      <c r="Q6" s="2" t="n"/>
      <c r="R6" s="28" t="n"/>
      <c r="S6" s="28" t="inlineStr">
        <is>
          <t>10LAA00GH101</t>
        </is>
      </c>
      <c r="T6" s="29" t="inlineStr">
        <is>
          <t>Atm. Basıncı 0,935 Bar</t>
        </is>
      </c>
    </row>
    <row r="7" ht="35.1" customFormat="1" customHeight="1" s="5">
      <c r="A7" s="17" t="n">
        <v>5</v>
      </c>
      <c r="B7" s="17" t="inlineStr">
        <is>
          <t>KIPP00</t>
        </is>
      </c>
      <c r="C7" s="14" t="inlineStr">
        <is>
          <t>00GHC03CP101</t>
        </is>
      </c>
      <c r="D7" s="14" t="inlineStr">
        <is>
          <t>DEMIN WATER PUMP-C SUCTION PRESS.</t>
        </is>
      </c>
      <c r="E7" s="84" t="n"/>
      <c r="F7" s="75" t="n">
        <v>-1</v>
      </c>
      <c r="G7" s="75" t="n">
        <v>20</v>
      </c>
      <c r="H7" s="39" t="n">
        <v>-1</v>
      </c>
      <c r="I7" s="39" t="n">
        <v>4</v>
      </c>
      <c r="J7" s="4" t="inlineStr">
        <is>
          <t>Bar</t>
        </is>
      </c>
      <c r="K7" s="33" t="inlineStr">
        <is>
          <t>YOKOGAWA</t>
        </is>
      </c>
      <c r="L7" s="33" t="inlineStr">
        <is>
          <t>EJA530E</t>
        </is>
      </c>
      <c r="M7" s="20" t="inlineStr">
        <is>
          <t>91S313264</t>
        </is>
      </c>
      <c r="N7" s="2">
        <f>IF(E7="","Waiting","Calibrated")</f>
        <v/>
      </c>
      <c r="O7" s="2" t="n">
        <v>10295567</v>
      </c>
      <c r="P7" s="2" t="inlineStr">
        <is>
          <t>ZM06</t>
        </is>
      </c>
      <c r="Q7" s="2" t="n"/>
      <c r="R7" s="28" t="n"/>
      <c r="S7" s="28" t="inlineStr">
        <is>
          <t>10LAA00GH101</t>
        </is>
      </c>
      <c r="T7" s="29" t="inlineStr">
        <is>
          <t>Atm. Basıncı 0,935 Bar</t>
        </is>
      </c>
    </row>
    <row r="8" ht="35.1" customFormat="1" customHeight="1" s="5">
      <c r="A8" s="17" t="n">
        <v>6</v>
      </c>
      <c r="B8" s="17" t="inlineStr">
        <is>
          <t>KIPP00</t>
        </is>
      </c>
      <c r="C8" s="14" t="inlineStr">
        <is>
          <t>00GHC03CP102</t>
        </is>
      </c>
      <c r="D8" s="14" t="inlineStr">
        <is>
          <t>DEMIN WATER PUMP-C SUCTION FILTER DP</t>
        </is>
      </c>
      <c r="E8" s="84" t="n"/>
      <c r="F8" s="75" t="n">
        <v>-5000</v>
      </c>
      <c r="G8" s="75" t="n">
        <v>5000</v>
      </c>
      <c r="H8" s="39" t="n">
        <v>0</v>
      </c>
      <c r="I8" s="39" t="n">
        <v>1500</v>
      </c>
      <c r="J8" s="4" t="inlineStr">
        <is>
          <t>mBar</t>
        </is>
      </c>
      <c r="K8" s="33" t="inlineStr">
        <is>
          <t>YOKOGAWA</t>
        </is>
      </c>
      <c r="L8" s="33" t="inlineStr">
        <is>
          <t>EJA110E</t>
        </is>
      </c>
      <c r="M8" s="20" t="inlineStr">
        <is>
          <t>91S313092</t>
        </is>
      </c>
      <c r="N8" s="2">
        <f>IF(E8="","Waiting","Calibrated")</f>
        <v/>
      </c>
      <c r="O8" s="2" t="n">
        <v>10295582</v>
      </c>
      <c r="P8" s="2" t="inlineStr">
        <is>
          <t>ZM06</t>
        </is>
      </c>
      <c r="Q8" s="2" t="n"/>
      <c r="R8" s="28" t="n"/>
      <c r="S8" s="28" t="inlineStr">
        <is>
          <t>10LAB01GH101</t>
        </is>
      </c>
      <c r="T8" s="29" t="n"/>
    </row>
    <row r="9" ht="35.1" customFormat="1" customHeight="1" s="5">
      <c r="A9" s="17" t="n">
        <v>7</v>
      </c>
      <c r="B9" s="17" t="inlineStr">
        <is>
          <t>KIPP00</t>
        </is>
      </c>
      <c r="C9" s="14" t="inlineStr">
        <is>
          <t>00GHC04CP101</t>
        </is>
      </c>
      <c r="D9" s="14" t="inlineStr">
        <is>
          <t xml:space="preserve">EMERGENCY M/U PUMP-A SUCTION PT </t>
        </is>
      </c>
      <c r="E9" s="84" t="n"/>
      <c r="F9" s="75" t="n">
        <v>-1</v>
      </c>
      <c r="G9" s="75" t="n">
        <v>100</v>
      </c>
      <c r="H9" s="39" t="n">
        <v>-1</v>
      </c>
      <c r="I9" s="39" t="n">
        <v>5</v>
      </c>
      <c r="J9" s="4" t="inlineStr">
        <is>
          <t>Bar</t>
        </is>
      </c>
      <c r="K9" s="33" t="inlineStr">
        <is>
          <t>YOKOGAWA</t>
        </is>
      </c>
      <c r="L9" s="33" t="inlineStr">
        <is>
          <t>EJA530E</t>
        </is>
      </c>
      <c r="M9" s="20" t="inlineStr">
        <is>
          <t>91S313216</t>
        </is>
      </c>
      <c r="N9" s="2">
        <f>IF(E9="","Waiting","Calibrated")</f>
        <v/>
      </c>
      <c r="O9" s="2" t="n">
        <v>10295594</v>
      </c>
      <c r="P9" s="2" t="inlineStr">
        <is>
          <t>ZM06</t>
        </is>
      </c>
      <c r="Q9" s="2" t="n"/>
      <c r="R9" s="28" t="n"/>
      <c r="S9" s="28" t="inlineStr">
        <is>
          <t>10LAB02GH101</t>
        </is>
      </c>
      <c r="T9" s="29" t="n"/>
    </row>
    <row r="10" ht="35.1" customFormat="1" customHeight="1" s="5">
      <c r="A10" s="17" t="n">
        <v>8</v>
      </c>
      <c r="B10" s="17" t="inlineStr">
        <is>
          <t>KIPP00</t>
        </is>
      </c>
      <c r="C10" s="14" t="inlineStr">
        <is>
          <t>00GHC04CP102</t>
        </is>
      </c>
      <c r="D10" s="14" t="inlineStr">
        <is>
          <t xml:space="preserve">EMERGENCY M/U PUMP-A SUCTION STRAINER DP </t>
        </is>
      </c>
      <c r="E10" s="84" t="n"/>
      <c r="F10" s="75" t="n">
        <v>-5000</v>
      </c>
      <c r="G10" s="75" t="n">
        <v>5000</v>
      </c>
      <c r="H10" s="39" t="n">
        <v>0</v>
      </c>
      <c r="I10" s="39" t="n">
        <v>1500</v>
      </c>
      <c r="J10" s="4" t="inlineStr">
        <is>
          <t>mBar</t>
        </is>
      </c>
      <c r="K10" s="33" t="inlineStr">
        <is>
          <t>YOKOGAWA</t>
        </is>
      </c>
      <c r="L10" s="33" t="inlineStr">
        <is>
          <t>EJA110E</t>
        </is>
      </c>
      <c r="M10" s="20" t="inlineStr">
        <is>
          <t>91S313106</t>
        </is>
      </c>
      <c r="N10" s="2">
        <f>IF(E10="","Waiting","Calibrated")</f>
        <v/>
      </c>
      <c r="O10" s="2" t="n">
        <v>10295606</v>
      </c>
      <c r="P10" s="2" t="inlineStr">
        <is>
          <t>ZM06</t>
        </is>
      </c>
      <c r="Q10" s="2" t="n"/>
      <c r="R10" s="28" t="n"/>
      <c r="S10" s="28" t="inlineStr">
        <is>
          <t>10LAB02GH101</t>
        </is>
      </c>
      <c r="T10" s="29" t="n"/>
    </row>
    <row r="11" ht="35.1" customFormat="1" customHeight="1" s="5">
      <c r="A11" s="17" t="n">
        <v>9</v>
      </c>
      <c r="B11" s="17" t="inlineStr">
        <is>
          <t>KIPP00</t>
        </is>
      </c>
      <c r="C11" s="14" t="inlineStr">
        <is>
          <t>00GHC05CP101</t>
        </is>
      </c>
      <c r="D11" s="14" t="inlineStr">
        <is>
          <t xml:space="preserve">EMERGENCY M/U PUMP-B SUCTION PT </t>
        </is>
      </c>
      <c r="E11" s="84" t="n"/>
      <c r="F11" s="75" t="n">
        <v>-1</v>
      </c>
      <c r="G11" s="75" t="n">
        <v>100</v>
      </c>
      <c r="H11" s="39" t="n">
        <v>-1</v>
      </c>
      <c r="I11" s="39" t="n">
        <v>5</v>
      </c>
      <c r="J11" s="4" t="inlineStr">
        <is>
          <t>Bar</t>
        </is>
      </c>
      <c r="K11" s="33" t="inlineStr">
        <is>
          <t>YOKOGAWA</t>
        </is>
      </c>
      <c r="L11" s="33" t="inlineStr">
        <is>
          <t>EJA530E</t>
        </is>
      </c>
      <c r="M11" s="20" t="inlineStr">
        <is>
          <t>91S313214</t>
        </is>
      </c>
      <c r="N11" s="2">
        <f>IF(E11="","Waiting","Calibrated")</f>
        <v/>
      </c>
      <c r="O11" s="2" t="n">
        <v>10295616</v>
      </c>
      <c r="P11" s="2" t="inlineStr">
        <is>
          <t>ZM06</t>
        </is>
      </c>
      <c r="Q11" s="2" t="n"/>
      <c r="R11" s="28" t="n"/>
      <c r="S11" s="28" t="inlineStr">
        <is>
          <t>10LAB06GH101</t>
        </is>
      </c>
      <c r="T11" s="29" t="n"/>
    </row>
    <row r="12" ht="35.1" customFormat="1" customHeight="1" s="5">
      <c r="A12" s="17" t="n">
        <v>10</v>
      </c>
      <c r="B12" s="17" t="inlineStr">
        <is>
          <t>KIPP00</t>
        </is>
      </c>
      <c r="C12" s="14" t="inlineStr">
        <is>
          <t>00GHC05CP102</t>
        </is>
      </c>
      <c r="D12" s="14" t="inlineStr">
        <is>
          <t xml:space="preserve">EMERGENCY M/U PUMP-B SUCTION STRAINER DP </t>
        </is>
      </c>
      <c r="E12" s="84" t="n"/>
      <c r="F12" s="75" t="n">
        <v>-5000</v>
      </c>
      <c r="G12" s="75" t="n">
        <v>5000</v>
      </c>
      <c r="H12" s="39" t="n">
        <v>0</v>
      </c>
      <c r="I12" s="39" t="n">
        <v>1500</v>
      </c>
      <c r="J12" s="4" t="inlineStr">
        <is>
          <t>mBar</t>
        </is>
      </c>
      <c r="K12" s="33" t="inlineStr">
        <is>
          <t>YOKOGAWA</t>
        </is>
      </c>
      <c r="L12" s="33" t="inlineStr">
        <is>
          <t>EJA110E</t>
        </is>
      </c>
      <c r="M12" s="20" t="inlineStr">
        <is>
          <t>91S313105</t>
        </is>
      </c>
      <c r="N12" s="2">
        <f>IF(E12="","Waiting","Calibrated")</f>
        <v/>
      </c>
      <c r="O12" s="2" t="n">
        <v>10295627</v>
      </c>
      <c r="P12" s="2" t="inlineStr">
        <is>
          <t>ZM06</t>
        </is>
      </c>
      <c r="Q12" s="2" t="n"/>
      <c r="R12" s="28" t="n"/>
      <c r="S12" s="28" t="inlineStr">
        <is>
          <t>10LAB06GH101</t>
        </is>
      </c>
      <c r="T12" s="29" t="n"/>
    </row>
    <row r="13" ht="35.1" customFormat="1" customHeight="1" s="5">
      <c r="A13" s="17" t="n">
        <v>11</v>
      </c>
      <c r="B13" s="17" t="inlineStr">
        <is>
          <t>KIPP00</t>
        </is>
      </c>
      <c r="C13" s="14" t="inlineStr">
        <is>
          <t>00GHC10CP101</t>
        </is>
      </c>
      <c r="D13" s="14" t="inlineStr">
        <is>
          <t>DEMIN. WATER SUPPLY PUMP DISC. PRESS. A</t>
        </is>
      </c>
      <c r="E13" s="84" t="n"/>
      <c r="F13" s="75" t="n">
        <v>-1</v>
      </c>
      <c r="G13" s="75" t="n">
        <v>20</v>
      </c>
      <c r="H13" s="39" t="n">
        <v>0</v>
      </c>
      <c r="I13" s="39" t="n">
        <v>15</v>
      </c>
      <c r="J13" s="4" t="inlineStr">
        <is>
          <t>Bar</t>
        </is>
      </c>
      <c r="K13" s="19" t="inlineStr">
        <is>
          <t>YOKOGAWA</t>
        </is>
      </c>
      <c r="L13" s="19" t="inlineStr">
        <is>
          <t>EJA530E</t>
        </is>
      </c>
      <c r="M13" s="19" t="inlineStr">
        <is>
          <t>91S313246</t>
        </is>
      </c>
      <c r="N13" s="2">
        <f>IF(E13="","Waiting","Calibrated")</f>
        <v/>
      </c>
      <c r="O13" s="2" t="n">
        <v>10295638</v>
      </c>
      <c r="P13" s="2" t="inlineStr">
        <is>
          <t>ZM06</t>
        </is>
      </c>
      <c r="Q13" s="2" t="inlineStr">
        <is>
          <t>OK</t>
        </is>
      </c>
      <c r="R13" s="28" t="n"/>
      <c r="S13" s="28" t="inlineStr">
        <is>
          <t>10LAB06GH101</t>
        </is>
      </c>
      <c r="T13" s="29" t="n"/>
    </row>
    <row r="14" ht="35.1" customFormat="1" customHeight="1" s="5">
      <c r="A14" s="17" t="n">
        <v>12</v>
      </c>
      <c r="B14" s="17" t="inlineStr">
        <is>
          <t>KIPP00</t>
        </is>
      </c>
      <c r="C14" s="14" t="inlineStr">
        <is>
          <t>00GHC10CP102</t>
        </is>
      </c>
      <c r="D14" s="14" t="inlineStr">
        <is>
          <t>DEMIN. WATER SUPPLY PUMP DISC. PRESS. B</t>
        </is>
      </c>
      <c r="E14" s="84" t="n"/>
      <c r="F14" s="75" t="n">
        <v>-1</v>
      </c>
      <c r="G14" s="75" t="n">
        <v>20</v>
      </c>
      <c r="H14" s="39" t="n">
        <v>0</v>
      </c>
      <c r="I14" s="39" t="n">
        <v>15</v>
      </c>
      <c r="J14" s="4" t="inlineStr">
        <is>
          <t>Bar</t>
        </is>
      </c>
      <c r="K14" s="19" t="inlineStr">
        <is>
          <t>YOKOGAWA</t>
        </is>
      </c>
      <c r="L14" s="19" t="inlineStr">
        <is>
          <t>EJA530E</t>
        </is>
      </c>
      <c r="M14" s="19" t="inlineStr">
        <is>
          <t>91S313247</t>
        </is>
      </c>
      <c r="N14" s="2">
        <f>IF(E14="","Waiting","Calibrated")</f>
        <v/>
      </c>
      <c r="O14" s="2" t="n">
        <v>10295647</v>
      </c>
      <c r="P14" s="2" t="inlineStr">
        <is>
          <t>ZM06</t>
        </is>
      </c>
      <c r="Q14" s="2" t="inlineStr">
        <is>
          <t>OK</t>
        </is>
      </c>
      <c r="R14" s="28" t="n"/>
      <c r="S14" s="28" t="inlineStr">
        <is>
          <t>10LAB10GH101</t>
        </is>
      </c>
      <c r="T14" s="29" t="n"/>
    </row>
    <row r="15" ht="35.1" customFormat="1" customHeight="1" s="5">
      <c r="A15" s="17" t="n">
        <v>13</v>
      </c>
      <c r="B15" s="17" t="inlineStr">
        <is>
          <t>KIPP00</t>
        </is>
      </c>
      <c r="C15" s="14" t="inlineStr">
        <is>
          <t>00GHC16CP101</t>
        </is>
      </c>
      <c r="D15" s="14" t="inlineStr">
        <is>
          <t>EMERGENCY M/U DISCAHARGE PT - A</t>
        </is>
      </c>
      <c r="E15" s="84" t="n"/>
      <c r="F15" s="75" t="n">
        <v>-1</v>
      </c>
      <c r="G15" s="75" t="n">
        <v>100</v>
      </c>
      <c r="H15" s="39" t="n">
        <v>0</v>
      </c>
      <c r="I15" s="39" t="n">
        <v>15</v>
      </c>
      <c r="J15" s="4" t="inlineStr">
        <is>
          <t>Bar</t>
        </is>
      </c>
      <c r="K15" s="33" t="inlineStr">
        <is>
          <t>YOKOGAWA</t>
        </is>
      </c>
      <c r="L15" s="33" t="inlineStr">
        <is>
          <t>EJA530E</t>
        </is>
      </c>
      <c r="M15" s="20" t="inlineStr">
        <is>
          <t>91S313302</t>
        </is>
      </c>
      <c r="N15" s="2">
        <f>IF(E15="","Waiting","Calibrated")</f>
        <v/>
      </c>
      <c r="O15" s="2" t="n">
        <v>10295648</v>
      </c>
      <c r="P15" s="2" t="inlineStr">
        <is>
          <t>ZM06</t>
        </is>
      </c>
      <c r="Q15" s="2" t="inlineStr">
        <is>
          <t>OK</t>
        </is>
      </c>
      <c r="R15" s="28" t="n"/>
      <c r="S15" s="28" t="inlineStr">
        <is>
          <t>10LAB10GH101</t>
        </is>
      </c>
      <c r="T15" s="29" t="n"/>
    </row>
    <row r="16" ht="35.1" customFormat="1" customHeight="1" s="5">
      <c r="A16" s="17" t="n">
        <v>14</v>
      </c>
      <c r="B16" s="17" t="inlineStr">
        <is>
          <t>KIPP00</t>
        </is>
      </c>
      <c r="C16" s="14" t="inlineStr">
        <is>
          <t>00GHC16CP102</t>
        </is>
      </c>
      <c r="D16" s="14" t="inlineStr">
        <is>
          <t>EMERGENCY M/U DISCAHARGE PT - B</t>
        </is>
      </c>
      <c r="E16" s="84" t="n"/>
      <c r="F16" s="75" t="n">
        <v>-1</v>
      </c>
      <c r="G16" s="75" t="n">
        <v>100</v>
      </c>
      <c r="H16" s="39" t="n">
        <v>0</v>
      </c>
      <c r="I16" s="39" t="n">
        <v>15</v>
      </c>
      <c r="J16" s="4" t="inlineStr">
        <is>
          <t>Bar</t>
        </is>
      </c>
      <c r="K16" s="33" t="inlineStr">
        <is>
          <t>YOKOGAWA</t>
        </is>
      </c>
      <c r="L16" s="33" t="inlineStr">
        <is>
          <t>EJA530E</t>
        </is>
      </c>
      <c r="M16" s="20" t="inlineStr">
        <is>
          <t>91S313303</t>
        </is>
      </c>
      <c r="N16" s="2">
        <f>IF(E16="","Waiting","Calibrated")</f>
        <v/>
      </c>
      <c r="O16" s="2" t="n">
        <v>10295685</v>
      </c>
      <c r="P16" s="2" t="inlineStr">
        <is>
          <t>ZM06</t>
        </is>
      </c>
      <c r="Q16" s="2" t="inlineStr">
        <is>
          <t>OK</t>
        </is>
      </c>
      <c r="R16" s="28" t="n"/>
      <c r="S16" s="28" t="inlineStr">
        <is>
          <t>10LAB01GH101</t>
        </is>
      </c>
      <c r="T16" s="29" t="n"/>
    </row>
    <row r="17" ht="35.1" customFormat="1" customHeight="1" s="5">
      <c r="A17" s="17" t="n">
        <v>15</v>
      </c>
      <c r="B17" s="17" t="inlineStr">
        <is>
          <t>KIPP00</t>
        </is>
      </c>
      <c r="C17" s="14" t="inlineStr">
        <is>
          <t>00GHC24CF101</t>
        </is>
      </c>
      <c r="D17" s="14" t="inlineStr">
        <is>
          <t>CONDENSER MAKE UP WATER FIT</t>
        </is>
      </c>
      <c r="E17" s="84" t="n"/>
      <c r="F17" s="75" t="n">
        <v>-10197.2</v>
      </c>
      <c r="G17" s="75" t="n">
        <v>10197.2</v>
      </c>
      <c r="H17" s="39" t="n">
        <v>0</v>
      </c>
      <c r="I17" s="39" t="n">
        <v>5000</v>
      </c>
      <c r="J17" s="4" t="inlineStr">
        <is>
          <t>mmH2O</t>
        </is>
      </c>
      <c r="K17" s="19" t="inlineStr">
        <is>
          <t>YOKOGAWA</t>
        </is>
      </c>
      <c r="L17" s="19" t="inlineStr">
        <is>
          <t>EJA110E</t>
        </is>
      </c>
      <c r="M17" s="19" t="inlineStr">
        <is>
          <t>91S313065</t>
        </is>
      </c>
      <c r="N17" s="2">
        <f>IF(E17="","Waiting","Calibrated")</f>
        <v/>
      </c>
      <c r="O17" s="2" t="n">
        <v>10295720</v>
      </c>
      <c r="P17" s="2" t="inlineStr">
        <is>
          <t>ZM06</t>
        </is>
      </c>
      <c r="Q17" s="2" t="n"/>
      <c r="R17" s="28" t="n"/>
      <c r="S17" s="28" t="inlineStr">
        <is>
          <t>10LAB02GH101</t>
        </is>
      </c>
      <c r="T17" s="29" t="n"/>
    </row>
    <row r="18" ht="35.1" customFormat="1" customHeight="1" s="5">
      <c r="A18" s="17" t="n">
        <v>16</v>
      </c>
      <c r="B18" s="17" t="inlineStr">
        <is>
          <t>KIPP00</t>
        </is>
      </c>
      <c r="C18" s="14" t="inlineStr">
        <is>
          <t>00GKB21CP101</t>
        </is>
      </c>
      <c r="D18" s="14" t="inlineStr">
        <is>
          <t>POTABLE WATER SUPPLY PUMP-A SUCTION PT</t>
        </is>
      </c>
      <c r="E18" s="84" t="n"/>
      <c r="F18" s="75" t="n">
        <v>-1</v>
      </c>
      <c r="G18" s="75" t="n">
        <v>20</v>
      </c>
      <c r="H18" s="39" t="n">
        <v>-1</v>
      </c>
      <c r="I18" s="39" t="n">
        <v>4</v>
      </c>
      <c r="J18" s="4" t="inlineStr">
        <is>
          <t>Bar</t>
        </is>
      </c>
      <c r="K18" s="19" t="inlineStr">
        <is>
          <t>YOKOGAWA</t>
        </is>
      </c>
      <c r="L18" s="33" t="inlineStr">
        <is>
          <t>EJA530E</t>
        </is>
      </c>
      <c r="M18" s="19" t="inlineStr">
        <is>
          <t>91S313267</t>
        </is>
      </c>
      <c r="N18" s="2">
        <f>IF(E18="","Waiting","Calibrated")</f>
        <v/>
      </c>
      <c r="O18" s="2" t="n">
        <v>10295755</v>
      </c>
      <c r="P18" s="2" t="inlineStr">
        <is>
          <t>ZM06</t>
        </is>
      </c>
      <c r="Q18" s="2" t="inlineStr">
        <is>
          <t>OK</t>
        </is>
      </c>
      <c r="R18" s="28" t="n"/>
      <c r="S18" s="28" t="inlineStr">
        <is>
          <t>10LAB02GH101</t>
        </is>
      </c>
      <c r="T18" s="29" t="n"/>
    </row>
    <row r="19" ht="35.1" customFormat="1" customHeight="1" s="5">
      <c r="A19" s="17" t="n">
        <v>17</v>
      </c>
      <c r="B19" s="17" t="inlineStr">
        <is>
          <t>KIPP00</t>
        </is>
      </c>
      <c r="C19" s="14" t="inlineStr">
        <is>
          <t>00GKB22CP101</t>
        </is>
      </c>
      <c r="D19" s="14" t="inlineStr">
        <is>
          <t>POTABLE WATER SUPPLY PUMP-B SUCTION PT</t>
        </is>
      </c>
      <c r="E19" s="84" t="n"/>
      <c r="F19" s="75" t="n">
        <v>-1</v>
      </c>
      <c r="G19" s="75" t="n">
        <v>20</v>
      </c>
      <c r="H19" s="39" t="n">
        <v>-1</v>
      </c>
      <c r="I19" s="39" t="n">
        <v>4</v>
      </c>
      <c r="J19" s="4" t="inlineStr">
        <is>
          <t>Bar</t>
        </is>
      </c>
      <c r="K19" s="19" t="inlineStr">
        <is>
          <t>YOKOGAWA</t>
        </is>
      </c>
      <c r="L19" s="33" t="inlineStr">
        <is>
          <t>EJA530E</t>
        </is>
      </c>
      <c r="M19" s="19" t="inlineStr">
        <is>
          <t>91S313268</t>
        </is>
      </c>
      <c r="N19" s="2">
        <f>IF(E19="","Waiting","Calibrated")</f>
        <v/>
      </c>
      <c r="O19" s="2" t="n">
        <v>10295760</v>
      </c>
      <c r="P19" s="2" t="inlineStr">
        <is>
          <t>ZM06</t>
        </is>
      </c>
      <c r="Q19" s="2" t="inlineStr">
        <is>
          <t>OK</t>
        </is>
      </c>
      <c r="R19" s="28" t="n"/>
      <c r="S19" s="28" t="inlineStr">
        <is>
          <t>10LAB15GH101</t>
        </is>
      </c>
      <c r="T19" s="29" t="n"/>
    </row>
    <row r="20" ht="35.1" customFormat="1" customHeight="1" s="5">
      <c r="A20" s="17" t="n">
        <v>18</v>
      </c>
      <c r="B20" s="17" t="inlineStr">
        <is>
          <t>KIPP00</t>
        </is>
      </c>
      <c r="C20" s="14" t="inlineStr">
        <is>
          <t>00GKB30CP101</t>
        </is>
      </c>
      <c r="D20" s="14" t="inlineStr">
        <is>
          <t>POTABLE WATER SUPPLY PUMP DISCHARGE PT - A</t>
        </is>
      </c>
      <c r="E20" s="84" t="n"/>
      <c r="F20" s="75" t="n">
        <v>-1</v>
      </c>
      <c r="G20" s="75" t="n">
        <v>20</v>
      </c>
      <c r="H20" s="39" t="n">
        <v>0</v>
      </c>
      <c r="I20" s="39" t="n">
        <v>9</v>
      </c>
      <c r="J20" s="4" t="inlineStr">
        <is>
          <t>Bar</t>
        </is>
      </c>
      <c r="K20" s="19" t="inlineStr">
        <is>
          <t>YOKOGAWA</t>
        </is>
      </c>
      <c r="L20" s="33" t="inlineStr">
        <is>
          <t>EJA530E</t>
        </is>
      </c>
      <c r="M20" s="19" t="inlineStr">
        <is>
          <t>91S313244</t>
        </is>
      </c>
      <c r="N20" s="2">
        <f>IF(E20="","Waiting","Calibrated")</f>
        <v/>
      </c>
      <c r="O20" s="2" t="n">
        <v>10295769</v>
      </c>
      <c r="P20" s="2" t="inlineStr">
        <is>
          <t>ZM06</t>
        </is>
      </c>
      <c r="Q20" s="2" t="inlineStr">
        <is>
          <t>OK</t>
        </is>
      </c>
      <c r="R20" s="28" t="n"/>
      <c r="S20" s="28" t="inlineStr">
        <is>
          <t>10LAB15GH101</t>
        </is>
      </c>
      <c r="T20" s="29" t="n"/>
    </row>
    <row r="21" ht="35.1" customFormat="1" customHeight="1" s="5">
      <c r="A21" s="17" t="n">
        <v>19</v>
      </c>
      <c r="B21" s="17" t="inlineStr">
        <is>
          <t>KIPP00</t>
        </is>
      </c>
      <c r="C21" s="14" t="inlineStr">
        <is>
          <t>00GKB30CP102</t>
        </is>
      </c>
      <c r="D21" s="14" t="inlineStr">
        <is>
          <t>POTABLE WATER SUPPLY PUMP DISCHARGE PT - B</t>
        </is>
      </c>
      <c r="E21" s="84" t="n"/>
      <c r="F21" s="75" t="n">
        <v>-1</v>
      </c>
      <c r="G21" s="75" t="n">
        <v>20</v>
      </c>
      <c r="H21" s="39" t="n">
        <v>0</v>
      </c>
      <c r="I21" s="39" t="n">
        <v>9</v>
      </c>
      <c r="J21" s="4" t="inlineStr">
        <is>
          <t>Bar</t>
        </is>
      </c>
      <c r="K21" s="19" t="inlineStr">
        <is>
          <t>YOKOGAWA</t>
        </is>
      </c>
      <c r="L21" s="33" t="inlineStr">
        <is>
          <t>EJA530E</t>
        </is>
      </c>
      <c r="M21" s="19" t="inlineStr">
        <is>
          <t>91S313245</t>
        </is>
      </c>
      <c r="N21" s="2">
        <f>IF(E21="","Waiting","Calibrated")</f>
        <v/>
      </c>
      <c r="O21" s="2" t="n">
        <v>10295777</v>
      </c>
      <c r="P21" s="2" t="inlineStr">
        <is>
          <t>ZM06</t>
        </is>
      </c>
      <c r="Q21" s="2" t="inlineStr">
        <is>
          <t>OK</t>
        </is>
      </c>
      <c r="R21" s="28" t="n"/>
      <c r="S21" s="28" t="inlineStr">
        <is>
          <t>10LAB15GH101</t>
        </is>
      </c>
      <c r="T21" s="29" t="n"/>
    </row>
    <row r="22" ht="35.1" customFormat="1" customHeight="1" s="5">
      <c r="A22" s="17" t="n">
        <v>20</v>
      </c>
      <c r="B22" s="17" t="inlineStr">
        <is>
          <t>KIPP10</t>
        </is>
      </c>
      <c r="C22" s="14" t="inlineStr">
        <is>
          <t>10LAA00CL101</t>
        </is>
      </c>
      <c r="D22" s="14" t="inlineStr">
        <is>
          <t>DEAERATOR &amp; FW STORAGE TANK LEVEL A</t>
        </is>
      </c>
      <c r="E22" s="84" t="n"/>
      <c r="F22" s="75" t="n">
        <v>-10197.2</v>
      </c>
      <c r="G22" s="75" t="n">
        <v>10197.2</v>
      </c>
      <c r="H22" s="39" t="n">
        <v>-2700</v>
      </c>
      <c r="I22" s="39" t="n">
        <v>0</v>
      </c>
      <c r="J22" s="4" t="inlineStr">
        <is>
          <t>mmH2O</t>
        </is>
      </c>
      <c r="K22" s="19" t="inlineStr">
        <is>
          <t>YOKOGAWA</t>
        </is>
      </c>
      <c r="L22" s="19" t="inlineStr">
        <is>
          <t>EJA110E</t>
        </is>
      </c>
      <c r="M22" s="19" t="inlineStr">
        <is>
          <t>91S313099</t>
        </is>
      </c>
      <c r="N22" s="2">
        <f>IF(E22="","Waiting","Calibrated")</f>
        <v/>
      </c>
      <c r="O22" s="2" t="n">
        <v>10295785</v>
      </c>
      <c r="P22" s="2" t="inlineStr">
        <is>
          <t>ZM06</t>
        </is>
      </c>
      <c r="Q22" s="2" t="inlineStr">
        <is>
          <t>OK</t>
        </is>
      </c>
      <c r="R22" s="28" t="n"/>
      <c r="S22" s="28" t="inlineStr">
        <is>
          <t>10LAB15GH101</t>
        </is>
      </c>
      <c r="T22" s="29" t="n"/>
    </row>
    <row r="23" ht="35.1" customFormat="1" customHeight="1" s="5">
      <c r="A23" s="17" t="n">
        <v>21</v>
      </c>
      <c r="B23" s="17" t="inlineStr">
        <is>
          <t>KIPP10</t>
        </is>
      </c>
      <c r="C23" s="14" t="inlineStr">
        <is>
          <t>10LAA00CL102</t>
        </is>
      </c>
      <c r="D23" s="14" t="inlineStr">
        <is>
          <t>DEAERATOR &amp; FW STORAGE TANK LEVEL B</t>
        </is>
      </c>
      <c r="E23" s="84" t="n"/>
      <c r="F23" s="75" t="n">
        <v>-10197.2</v>
      </c>
      <c r="G23" s="75" t="n">
        <v>10197.2</v>
      </c>
      <c r="H23" s="39" t="n">
        <v>-2700</v>
      </c>
      <c r="I23" s="39" t="n">
        <v>0</v>
      </c>
      <c r="J23" s="4" t="inlineStr">
        <is>
          <t>mmH2O</t>
        </is>
      </c>
      <c r="K23" s="19" t="inlineStr">
        <is>
          <t>YOKOGAWA</t>
        </is>
      </c>
      <c r="L23" s="19" t="inlineStr">
        <is>
          <t>EJA110E</t>
        </is>
      </c>
      <c r="M23" s="19" t="inlineStr">
        <is>
          <t>91S313098</t>
        </is>
      </c>
      <c r="N23" s="2">
        <f>IF(E23="","Waiting","Calibrated")</f>
        <v/>
      </c>
      <c r="O23" s="2" t="n">
        <v>10295819</v>
      </c>
      <c r="P23" s="2" t="inlineStr">
        <is>
          <t>ZM06</t>
        </is>
      </c>
      <c r="Q23" s="2" t="inlineStr">
        <is>
          <t>OK</t>
        </is>
      </c>
      <c r="R23" s="28" t="n"/>
      <c r="S23" s="28" t="inlineStr">
        <is>
          <t>10LAB15GH101</t>
        </is>
      </c>
      <c r="T23" s="29" t="n"/>
    </row>
    <row r="24" ht="35.1" customFormat="1" customHeight="1" s="5">
      <c r="A24" s="17" t="n">
        <v>22</v>
      </c>
      <c r="B24" s="17" t="inlineStr">
        <is>
          <t>KIPP10</t>
        </is>
      </c>
      <c r="C24" s="14" t="inlineStr">
        <is>
          <t>10LAA00CL103</t>
        </is>
      </c>
      <c r="D24" s="14" t="inlineStr">
        <is>
          <t>DEAERATOR &amp; FW STORAGE TANK LEVEL C</t>
        </is>
      </c>
      <c r="E24" s="84" t="n"/>
      <c r="F24" s="75" t="n">
        <v>-10197.2</v>
      </c>
      <c r="G24" s="75" t="n">
        <v>10197.2</v>
      </c>
      <c r="H24" s="39" t="n">
        <v>-2700</v>
      </c>
      <c r="I24" s="39" t="n">
        <v>0</v>
      </c>
      <c r="J24" s="4" t="inlineStr">
        <is>
          <t>mmH2O</t>
        </is>
      </c>
      <c r="K24" s="19" t="inlineStr">
        <is>
          <t>YOKOGAWA</t>
        </is>
      </c>
      <c r="L24" s="19" t="inlineStr">
        <is>
          <t>EJA110E</t>
        </is>
      </c>
      <c r="M24" s="19" t="inlineStr">
        <is>
          <t>91S313095</t>
        </is>
      </c>
      <c r="N24" s="2">
        <f>IF(E24="","Waiting","Calibrated")</f>
        <v/>
      </c>
      <c r="O24" s="2" t="n">
        <v>10295759</v>
      </c>
      <c r="P24" s="2" t="inlineStr">
        <is>
          <t>ZM06</t>
        </is>
      </c>
      <c r="Q24" s="2" t="inlineStr">
        <is>
          <t>OK</t>
        </is>
      </c>
      <c r="R24" s="28" t="n"/>
      <c r="S24" s="28" t="inlineStr">
        <is>
          <t>10LAB10GH101</t>
        </is>
      </c>
      <c r="T24" s="29" t="n"/>
    </row>
    <row r="25" ht="35.1" customFormat="1" customHeight="1" s="5">
      <c r="A25" s="17" t="n">
        <v>23</v>
      </c>
      <c r="B25" s="17" t="inlineStr">
        <is>
          <t>KIPP10</t>
        </is>
      </c>
      <c r="C25" s="14" t="inlineStr">
        <is>
          <t>10LAA00CL104</t>
        </is>
      </c>
      <c r="D25" s="14" t="inlineStr">
        <is>
          <t>DEAERATOR &amp; FW STORAGE TANK LEVEL D</t>
        </is>
      </c>
      <c r="E25" s="84" t="n"/>
      <c r="F25" s="75" t="n">
        <v>-10197.2</v>
      </c>
      <c r="G25" s="75" t="n">
        <v>10197.2</v>
      </c>
      <c r="H25" s="39" t="n">
        <v>-2700</v>
      </c>
      <c r="I25" s="39" t="n">
        <v>0</v>
      </c>
      <c r="J25" s="4" t="inlineStr">
        <is>
          <t>mmH2O</t>
        </is>
      </c>
      <c r="K25" s="19" t="inlineStr">
        <is>
          <t>YOKOGAWA</t>
        </is>
      </c>
      <c r="L25" s="19" t="inlineStr">
        <is>
          <t>EJA110E</t>
        </is>
      </c>
      <c r="M25" s="19" t="inlineStr">
        <is>
          <t>91S313094</t>
        </is>
      </c>
      <c r="N25" s="2">
        <f>IF(E25="","Waiting","Calibrated")</f>
        <v/>
      </c>
      <c r="O25" s="2" t="n">
        <v>10295820</v>
      </c>
      <c r="P25" s="2" t="inlineStr">
        <is>
          <t>ZM06</t>
        </is>
      </c>
      <c r="Q25" s="2" t="inlineStr">
        <is>
          <t>OK</t>
        </is>
      </c>
      <c r="R25" s="28" t="n"/>
      <c r="S25" s="28" t="inlineStr">
        <is>
          <t>10LAB10GH101</t>
        </is>
      </c>
      <c r="T25" s="29" t="n"/>
    </row>
    <row r="26" ht="35.1" customFormat="1" customHeight="1" s="5">
      <c r="A26" s="17" t="n">
        <v>24</v>
      </c>
      <c r="B26" s="17" t="inlineStr">
        <is>
          <t>KIPP10</t>
        </is>
      </c>
      <c r="C26" s="14" t="inlineStr">
        <is>
          <t>10LAA00CL105</t>
        </is>
      </c>
      <c r="D26" s="14" t="inlineStr">
        <is>
          <t>DEAERATOR &amp; FW STORAGE TANK LEVEL E</t>
        </is>
      </c>
      <c r="E26" s="84" t="n"/>
      <c r="F26" s="75" t="n">
        <v>-10197.2</v>
      </c>
      <c r="G26" s="75" t="n">
        <v>10197.2</v>
      </c>
      <c r="H26" s="39" t="n">
        <v>-2700</v>
      </c>
      <c r="I26" s="39" t="n">
        <v>0</v>
      </c>
      <c r="J26" s="4" t="inlineStr">
        <is>
          <t>mmH2O</t>
        </is>
      </c>
      <c r="K26" s="19" t="inlineStr">
        <is>
          <t>YOKOGAWA</t>
        </is>
      </c>
      <c r="L26" s="19" t="inlineStr">
        <is>
          <t>EJA110E</t>
        </is>
      </c>
      <c r="M26" s="19" t="inlineStr">
        <is>
          <t>91S313093</t>
        </is>
      </c>
      <c r="N26" s="2">
        <f>IF(E26="","Waiting","Calibrated")</f>
        <v/>
      </c>
      <c r="O26" s="2" t="n">
        <v>10295831</v>
      </c>
      <c r="P26" s="2" t="inlineStr">
        <is>
          <t>ZM06</t>
        </is>
      </c>
      <c r="Q26" s="2" t="inlineStr">
        <is>
          <t>OK</t>
        </is>
      </c>
      <c r="R26" s="28" t="n"/>
      <c r="S26" s="28" t="inlineStr">
        <is>
          <t>10LAB01GH101</t>
        </is>
      </c>
      <c r="T26" s="29" t="n"/>
    </row>
    <row r="27" ht="35.1" customFormat="1" customHeight="1" s="5">
      <c r="A27" s="17" t="n">
        <v>25</v>
      </c>
      <c r="B27" s="17" t="inlineStr">
        <is>
          <t>KIPP10</t>
        </is>
      </c>
      <c r="C27" s="14" t="inlineStr">
        <is>
          <t>10LAA00CP101</t>
        </is>
      </c>
      <c r="D27" s="14" t="inlineStr">
        <is>
          <t>DEAERATOR &amp; FW STORAGE TANK PRESSURE A</t>
        </is>
      </c>
      <c r="E27" s="84" t="n"/>
      <c r="F27" s="75" t="n">
        <v>-1</v>
      </c>
      <c r="G27" s="75" t="n">
        <v>20</v>
      </c>
      <c r="H27" s="39" t="n">
        <v>0</v>
      </c>
      <c r="I27" s="39" t="n">
        <v>7</v>
      </c>
      <c r="J27" s="4" t="inlineStr">
        <is>
          <t>Bar</t>
        </is>
      </c>
      <c r="K27" s="19" t="inlineStr">
        <is>
          <t>YOKOGAWA</t>
        </is>
      </c>
      <c r="L27" s="19" t="inlineStr">
        <is>
          <t>EJA530E</t>
        </is>
      </c>
      <c r="M27" s="19" t="inlineStr">
        <is>
          <t>91S313278</t>
        </is>
      </c>
      <c r="N27" s="2">
        <f>IF(E27="","Waiting","Calibrated")</f>
        <v/>
      </c>
      <c r="O27" s="2" t="n">
        <v>10295841</v>
      </c>
      <c r="P27" s="2" t="inlineStr">
        <is>
          <t>ZM06</t>
        </is>
      </c>
      <c r="Q27" s="2" t="inlineStr">
        <is>
          <t>OK</t>
        </is>
      </c>
      <c r="R27" s="28" t="n"/>
      <c r="S27" s="28" t="inlineStr">
        <is>
          <t>10LAB02GH101</t>
        </is>
      </c>
      <c r="T27" s="29" t="n"/>
    </row>
    <row r="28" ht="35.1" customFormat="1" customHeight="1" s="5">
      <c r="A28" s="17" t="n">
        <v>26</v>
      </c>
      <c r="B28" s="17" t="inlineStr">
        <is>
          <t>KIPP10</t>
        </is>
      </c>
      <c r="C28" s="14" t="inlineStr">
        <is>
          <t>10LAA00CP102</t>
        </is>
      </c>
      <c r="D28" s="14" t="inlineStr">
        <is>
          <t>DEAERATOR &amp; FW STORAGE TANK PRESSURE B</t>
        </is>
      </c>
      <c r="E28" s="84" t="n"/>
      <c r="F28" s="75" t="n">
        <v>-1</v>
      </c>
      <c r="G28" s="75" t="n">
        <v>20</v>
      </c>
      <c r="H28" s="39" t="n">
        <v>0</v>
      </c>
      <c r="I28" s="39" t="n">
        <v>7</v>
      </c>
      <c r="J28" s="4" t="inlineStr">
        <is>
          <t>Bar</t>
        </is>
      </c>
      <c r="K28" s="19" t="inlineStr">
        <is>
          <t>YOKOGAWA</t>
        </is>
      </c>
      <c r="L28" s="19" t="inlineStr">
        <is>
          <t>EJA530E</t>
        </is>
      </c>
      <c r="M28" s="19" t="inlineStr">
        <is>
          <t>91S313279</t>
        </is>
      </c>
      <c r="N28" s="2">
        <f>IF(E28="","Waiting","Calibrated")</f>
        <v/>
      </c>
      <c r="O28" s="2" t="n">
        <v>10295851</v>
      </c>
      <c r="P28" s="2" t="inlineStr">
        <is>
          <t>ZM06</t>
        </is>
      </c>
      <c r="Q28" s="2" t="inlineStr">
        <is>
          <t>OK</t>
        </is>
      </c>
      <c r="R28" s="28" t="n"/>
      <c r="S28" s="28" t="inlineStr">
        <is>
          <t>10LAB02GH101</t>
        </is>
      </c>
      <c r="T28" s="29" t="n"/>
    </row>
    <row r="29" ht="35.1" customFormat="1" customHeight="1" s="5">
      <c r="A29" s="17" t="n">
        <v>27</v>
      </c>
      <c r="B29" s="17" t="inlineStr">
        <is>
          <t>KIPP10</t>
        </is>
      </c>
      <c r="C29" s="14" t="inlineStr">
        <is>
          <t>10LAA00CP103</t>
        </is>
      </c>
      <c r="D29" s="14" t="inlineStr">
        <is>
          <t>DEAERATOR &amp; FW STORAGE TANK PRESSURE C</t>
        </is>
      </c>
      <c r="E29" s="84" t="n"/>
      <c r="F29" s="75" t="n">
        <v>-1</v>
      </c>
      <c r="G29" s="75" t="n">
        <v>20</v>
      </c>
      <c r="H29" s="39" t="n">
        <v>0</v>
      </c>
      <c r="I29" s="39" t="n">
        <v>7</v>
      </c>
      <c r="J29" s="4" t="inlineStr">
        <is>
          <t>Bar</t>
        </is>
      </c>
      <c r="K29" s="19" t="inlineStr">
        <is>
          <t>YOKOGAWA</t>
        </is>
      </c>
      <c r="L29" s="19" t="inlineStr">
        <is>
          <t>EJA530E</t>
        </is>
      </c>
      <c r="M29" s="19" t="inlineStr">
        <is>
          <t>91S313280</t>
        </is>
      </c>
      <c r="N29" s="2">
        <f>IF(E29="","Waiting","Calibrated")</f>
        <v/>
      </c>
      <c r="O29" s="2" t="n">
        <v>10296179</v>
      </c>
      <c r="P29" s="2" t="inlineStr">
        <is>
          <t>ZM06</t>
        </is>
      </c>
      <c r="Q29" s="2" t="inlineStr">
        <is>
          <t>OK</t>
        </is>
      </c>
      <c r="R29" s="28" t="n"/>
      <c r="S29" s="28" t="n"/>
      <c r="T29" s="29" t="n"/>
    </row>
    <row r="30" ht="35.1" customFormat="1" customHeight="1" s="5">
      <c r="A30" s="17" t="n">
        <v>28</v>
      </c>
      <c r="B30" s="17" t="inlineStr">
        <is>
          <t>KIPP10</t>
        </is>
      </c>
      <c r="C30" s="14" t="inlineStr">
        <is>
          <t>10LAB01CP102</t>
        </is>
      </c>
      <c r="D30" s="14" t="inlineStr">
        <is>
          <t>STG 10 BOILER FWP C SUCTION PRESSURE</t>
        </is>
      </c>
      <c r="E30" s="84" t="n"/>
      <c r="F30" s="75" t="n">
        <v>-1</v>
      </c>
      <c r="G30" s="75" t="n">
        <v>20</v>
      </c>
      <c r="H30" s="39" t="n">
        <v>0</v>
      </c>
      <c r="I30" s="39" t="n">
        <v>5</v>
      </c>
      <c r="J30" s="4" t="inlineStr">
        <is>
          <t>Bar</t>
        </is>
      </c>
      <c r="K30" s="19" t="inlineStr">
        <is>
          <t>YOKOGAWA</t>
        </is>
      </c>
      <c r="L30" s="19" t="inlineStr">
        <is>
          <t>EJA530E</t>
        </is>
      </c>
      <c r="M30" s="19" t="inlineStr">
        <is>
          <t>91S213232</t>
        </is>
      </c>
      <c r="N30" s="2">
        <f>IF(E30="","Waiting","Calibrated")</f>
        <v/>
      </c>
      <c r="O30" s="2" t="n">
        <v>10296180</v>
      </c>
      <c r="P30" s="2" t="inlineStr">
        <is>
          <t>ZM06</t>
        </is>
      </c>
      <c r="Q30" s="2" t="inlineStr">
        <is>
          <t>OK</t>
        </is>
      </c>
      <c r="R30" s="28" t="n"/>
      <c r="S30" s="28" t="n"/>
      <c r="T30" s="29" t="n"/>
    </row>
    <row r="31" ht="35.1" customFormat="1" customHeight="1" s="5">
      <c r="A31" s="17" t="n">
        <v>29</v>
      </c>
      <c r="B31" s="17" t="inlineStr">
        <is>
          <t>KIPP10</t>
        </is>
      </c>
      <c r="C31" s="14" t="inlineStr">
        <is>
          <t>10LAB02CP102</t>
        </is>
      </c>
      <c r="D31" s="14" t="inlineStr">
        <is>
          <t>BOILER FEED WATER PUMP B SUCTION PT</t>
        </is>
      </c>
      <c r="E31" s="84" t="n"/>
      <c r="F31" s="75" t="n">
        <v>-1</v>
      </c>
      <c r="G31" s="75" t="n">
        <v>20</v>
      </c>
      <c r="H31" s="39" t="n">
        <v>0</v>
      </c>
      <c r="I31" s="39" t="n">
        <v>5</v>
      </c>
      <c r="J31" s="4" t="inlineStr">
        <is>
          <t>Bar</t>
        </is>
      </c>
      <c r="K31" s="19" t="inlineStr">
        <is>
          <t>YOKOGAWA</t>
        </is>
      </c>
      <c r="L31" s="19" t="inlineStr">
        <is>
          <t>EJA530E</t>
        </is>
      </c>
      <c r="M31" s="19" t="inlineStr">
        <is>
          <t>91S213233</t>
        </is>
      </c>
      <c r="N31" s="2">
        <f>IF(E31="","Waiting","Calibrated")</f>
        <v/>
      </c>
      <c r="O31" s="2" t="n">
        <v>10296213</v>
      </c>
      <c r="P31" s="2" t="inlineStr">
        <is>
          <t>ZM06</t>
        </is>
      </c>
      <c r="Q31" s="2" t="inlineStr">
        <is>
          <t>OK</t>
        </is>
      </c>
      <c r="R31" s="28" t="n"/>
      <c r="S31" s="28" t="n"/>
      <c r="T31" s="29" t="n"/>
    </row>
    <row r="32" ht="35.1" customFormat="1" customHeight="1" s="5">
      <c r="A32" s="17" t="n">
        <v>30</v>
      </c>
      <c r="B32" s="17" t="inlineStr">
        <is>
          <t>KIPP10</t>
        </is>
      </c>
      <c r="C32" s="14" t="inlineStr">
        <is>
          <t>10LAB03CP102</t>
        </is>
      </c>
      <c r="D32" s="14" t="inlineStr">
        <is>
          <t>STG 10 BOILER FWP C SUCTION PRESSURE</t>
        </is>
      </c>
      <c r="E32" s="84" t="n"/>
      <c r="F32" s="75" t="n">
        <v>-1</v>
      </c>
      <c r="G32" s="75" t="n">
        <v>20</v>
      </c>
      <c r="H32" s="39" t="n">
        <v>0</v>
      </c>
      <c r="I32" s="39" t="n">
        <v>5</v>
      </c>
      <c r="J32" s="4" t="inlineStr">
        <is>
          <t>Bar</t>
        </is>
      </c>
      <c r="K32" s="19" t="inlineStr">
        <is>
          <t>YOKOGAWA</t>
        </is>
      </c>
      <c r="L32" s="19" t="inlineStr">
        <is>
          <t>EJA530E</t>
        </is>
      </c>
      <c r="M32" s="19" t="inlineStr">
        <is>
          <t>91S213234</t>
        </is>
      </c>
      <c r="N32" s="2">
        <f>IF(E32="","Waiting","Calibrated")</f>
        <v/>
      </c>
      <c r="O32" s="2" t="n">
        <v>10296214</v>
      </c>
      <c r="P32" s="2" t="inlineStr">
        <is>
          <t>ZM06</t>
        </is>
      </c>
      <c r="Q32" s="2" t="inlineStr">
        <is>
          <t>OK</t>
        </is>
      </c>
      <c r="R32" s="28" t="n"/>
      <c r="S32" s="28" t="n"/>
      <c r="T32" s="29" t="n"/>
    </row>
    <row r="33" ht="35.1" customFormat="1" customHeight="1" s="5">
      <c r="A33" s="17" t="n">
        <v>31</v>
      </c>
      <c r="B33" s="17" t="inlineStr">
        <is>
          <t>KIPP10</t>
        </is>
      </c>
      <c r="C33" s="14" t="inlineStr">
        <is>
          <t>10LAB06CP102</t>
        </is>
      </c>
      <c r="D33" s="14" t="inlineStr">
        <is>
          <t>CPH PUMP-A SUCTION PRESS.</t>
        </is>
      </c>
      <c r="E33" s="84" t="n"/>
      <c r="F33" s="75" t="n">
        <v>-1</v>
      </c>
      <c r="G33" s="75" t="n">
        <v>20</v>
      </c>
      <c r="H33" s="39" t="n">
        <v>0</v>
      </c>
      <c r="I33" s="39" t="n">
        <v>6</v>
      </c>
      <c r="J33" s="4" t="inlineStr">
        <is>
          <t>Bar</t>
        </is>
      </c>
      <c r="K33" s="19" t="inlineStr">
        <is>
          <t>YOKOGAWA</t>
        </is>
      </c>
      <c r="L33" s="19" t="inlineStr">
        <is>
          <t>EJA530E</t>
        </is>
      </c>
      <c r="M33" s="19" t="inlineStr">
        <is>
          <t>91S313235</t>
        </is>
      </c>
      <c r="N33" s="2">
        <f>IF(E33="","Waiting","Calibrated")</f>
        <v/>
      </c>
      <c r="O33" s="2" t="n">
        <v>10296232</v>
      </c>
      <c r="P33" s="2" t="inlineStr">
        <is>
          <t>ZM06</t>
        </is>
      </c>
      <c r="Q33" s="2" t="inlineStr">
        <is>
          <t>OK</t>
        </is>
      </c>
      <c r="R33" s="28" t="n"/>
      <c r="S33" s="28" t="n"/>
      <c r="T33" s="29" t="n"/>
    </row>
    <row r="34" ht="35.1" customFormat="1" customHeight="1" s="5">
      <c r="A34" s="17" t="n">
        <v>32</v>
      </c>
      <c r="B34" s="17" t="inlineStr">
        <is>
          <t>KIPP10</t>
        </is>
      </c>
      <c r="C34" s="14" t="inlineStr">
        <is>
          <t>10LAB07CP102</t>
        </is>
      </c>
      <c r="D34" s="14" t="inlineStr">
        <is>
          <t>CPH PUMP-B SUCTION PRESS.</t>
        </is>
      </c>
      <c r="E34" s="84" t="n"/>
      <c r="F34" s="75" t="n">
        <v>-1</v>
      </c>
      <c r="G34" s="75" t="n">
        <v>20</v>
      </c>
      <c r="H34" s="39" t="n">
        <v>0</v>
      </c>
      <c r="I34" s="39" t="n">
        <v>6</v>
      </c>
      <c r="J34" s="4" t="inlineStr">
        <is>
          <t>Bar</t>
        </is>
      </c>
      <c r="K34" s="19" t="inlineStr">
        <is>
          <t>YOKOGAWA</t>
        </is>
      </c>
      <c r="L34" s="19" t="inlineStr">
        <is>
          <t>EJA530E</t>
        </is>
      </c>
      <c r="M34" s="19" t="inlineStr">
        <is>
          <t>91S313236</t>
        </is>
      </c>
      <c r="N34" s="2">
        <f>IF(E34="","Waiting","Calibrated")</f>
        <v/>
      </c>
      <c r="O34" s="2" t="n">
        <v>10296242</v>
      </c>
      <c r="P34" s="2" t="inlineStr">
        <is>
          <t>ZM06</t>
        </is>
      </c>
      <c r="Q34" s="2" t="inlineStr">
        <is>
          <t>OK</t>
        </is>
      </c>
      <c r="R34" s="28" t="n"/>
      <c r="S34" s="28" t="n"/>
      <c r="T34" s="29" t="n"/>
    </row>
    <row r="35" ht="35.1" customFormat="1" customHeight="1" s="5">
      <c r="A35" s="17" t="n">
        <v>33</v>
      </c>
      <c r="B35" s="17" t="inlineStr">
        <is>
          <t>KIPP10</t>
        </is>
      </c>
      <c r="C35" s="14" t="inlineStr">
        <is>
          <t>10LAB08CP102</t>
        </is>
      </c>
      <c r="D35" s="14" t="inlineStr">
        <is>
          <t>CPH PUMP-C SUCTION PRESS.</t>
        </is>
      </c>
      <c r="E35" s="84" t="n"/>
      <c r="F35" s="75" t="n">
        <v>-1</v>
      </c>
      <c r="G35" s="75" t="n">
        <v>20</v>
      </c>
      <c r="H35" s="39" t="n">
        <v>0</v>
      </c>
      <c r="I35" s="39" t="n">
        <v>6</v>
      </c>
      <c r="J35" s="4" t="inlineStr">
        <is>
          <t>Bar</t>
        </is>
      </c>
      <c r="K35" s="19" t="inlineStr">
        <is>
          <t>YOKOGAWA</t>
        </is>
      </c>
      <c r="L35" s="19" t="inlineStr">
        <is>
          <t>EJA530E</t>
        </is>
      </c>
      <c r="M35" s="19" t="inlineStr">
        <is>
          <t>91S313237</t>
        </is>
      </c>
      <c r="N35" s="2">
        <f>IF(E35="","Waiting","Calibrated")</f>
        <v/>
      </c>
      <c r="O35" s="2" t="n">
        <v>10296283</v>
      </c>
      <c r="P35" s="2" t="inlineStr">
        <is>
          <t>ZM06</t>
        </is>
      </c>
      <c r="Q35" s="2" t="inlineStr">
        <is>
          <t>OK</t>
        </is>
      </c>
      <c r="R35" s="28" t="n"/>
      <c r="S35" s="28" t="n"/>
      <c r="T35" s="29" t="n"/>
    </row>
    <row r="36" ht="35.1" customFormat="1" customHeight="1" s="5">
      <c r="A36" s="17" t="n">
        <v>34</v>
      </c>
      <c r="B36" s="17" t="inlineStr">
        <is>
          <t>KIPP10</t>
        </is>
      </c>
      <c r="C36" s="14" t="inlineStr">
        <is>
          <t>10LAB10CP101</t>
        </is>
      </c>
      <c r="D36" s="14" t="inlineStr">
        <is>
          <t>BOILER FEED WATER PUMP-A HP DISCHARGE PT</t>
        </is>
      </c>
      <c r="E36" s="84" t="n"/>
      <c r="F36" s="75" t="n">
        <v>-1</v>
      </c>
      <c r="G36" s="75" t="n">
        <v>500</v>
      </c>
      <c r="H36" s="39" t="n">
        <v>0</v>
      </c>
      <c r="I36" s="39" t="n">
        <v>218</v>
      </c>
      <c r="J36" s="4" t="inlineStr">
        <is>
          <t>Bar</t>
        </is>
      </c>
      <c r="K36" s="19" t="inlineStr">
        <is>
          <t>YOKOGAWA</t>
        </is>
      </c>
      <c r="L36" s="19" t="inlineStr">
        <is>
          <t>EJA530E</t>
        </is>
      </c>
      <c r="M36" s="19" t="inlineStr">
        <is>
          <t>91S313320</t>
        </is>
      </c>
      <c r="N36" s="2">
        <f>IF(E36="","Waiting","Calibrated")</f>
        <v/>
      </c>
      <c r="O36" s="2" t="n">
        <v>10296284</v>
      </c>
      <c r="P36" s="2" t="inlineStr">
        <is>
          <t>ZM06</t>
        </is>
      </c>
      <c r="Q36" s="2" t="inlineStr">
        <is>
          <t>OK</t>
        </is>
      </c>
      <c r="R36" s="28" t="n"/>
      <c r="S36" s="28" t="n"/>
      <c r="T36" s="29" t="n"/>
    </row>
    <row r="37" ht="35.1" customFormat="1" customHeight="1" s="5">
      <c r="A37" s="17" t="n">
        <v>35</v>
      </c>
      <c r="B37" s="17" t="inlineStr">
        <is>
          <t>KIPP10</t>
        </is>
      </c>
      <c r="C37" s="14" t="inlineStr">
        <is>
          <t>10LAB10CP102</t>
        </is>
      </c>
      <c r="D37" s="14" t="inlineStr">
        <is>
          <t>BOILER FEED WATER PUMP-B HP DISCHARGE PT</t>
        </is>
      </c>
      <c r="E37" s="84" t="n"/>
      <c r="F37" s="75" t="n">
        <v>-1</v>
      </c>
      <c r="G37" s="75" t="n">
        <v>500</v>
      </c>
      <c r="H37" s="39" t="n">
        <v>0</v>
      </c>
      <c r="I37" s="39" t="n">
        <v>218</v>
      </c>
      <c r="J37" s="4" t="inlineStr">
        <is>
          <t>Bar</t>
        </is>
      </c>
      <c r="K37" s="19" t="inlineStr">
        <is>
          <t>YOKOGAWA</t>
        </is>
      </c>
      <c r="L37" s="19" t="inlineStr">
        <is>
          <t>EJA530E</t>
        </is>
      </c>
      <c r="M37" s="19" t="inlineStr">
        <is>
          <t>91S313321</t>
        </is>
      </c>
      <c r="N37" s="2">
        <f>IF(E37="","Waiting","Calibrated")</f>
        <v/>
      </c>
      <c r="O37" s="2" t="n">
        <v>10296285</v>
      </c>
      <c r="P37" s="2" t="inlineStr">
        <is>
          <t>ZM06</t>
        </is>
      </c>
      <c r="Q37" s="2" t="inlineStr">
        <is>
          <t>OK</t>
        </is>
      </c>
      <c r="R37" s="28" t="n"/>
      <c r="S37" s="28" t="n"/>
      <c r="T37" s="29" t="n"/>
    </row>
    <row r="38" ht="35.1" customFormat="1" customHeight="1" s="5">
      <c r="A38" s="17" t="n">
        <v>36</v>
      </c>
      <c r="B38" s="17" t="inlineStr">
        <is>
          <t>KIPP10</t>
        </is>
      </c>
      <c r="C38" s="14" t="inlineStr">
        <is>
          <t>10LAB11CF101</t>
        </is>
      </c>
      <c r="D38" s="14" t="inlineStr">
        <is>
          <t>BOILER FEED WATER PUMP A HP DISCHARGE FT</t>
        </is>
      </c>
      <c r="E38" s="84" t="n"/>
      <c r="F38" s="75" t="n">
        <v>-50986</v>
      </c>
      <c r="G38" s="75" t="n">
        <v>50986</v>
      </c>
      <c r="H38" s="39" t="n">
        <v>0</v>
      </c>
      <c r="I38" s="39" t="n">
        <v>7500</v>
      </c>
      <c r="J38" s="4" t="inlineStr">
        <is>
          <t>mmH2O</t>
        </is>
      </c>
      <c r="K38" s="19" t="inlineStr">
        <is>
          <t>YOKOGAWA</t>
        </is>
      </c>
      <c r="L38" s="19" t="inlineStr">
        <is>
          <t>EJA110E</t>
        </is>
      </c>
      <c r="M38" s="19" t="inlineStr">
        <is>
          <t>91S313539</t>
        </is>
      </c>
      <c r="N38" s="2">
        <f>IF(E38="","Waiting","Calibrated")</f>
        <v/>
      </c>
      <c r="O38" s="2" t="n">
        <v>10296286</v>
      </c>
      <c r="P38" s="2" t="inlineStr">
        <is>
          <t>ZM06</t>
        </is>
      </c>
      <c r="Q38" s="2" t="inlineStr">
        <is>
          <t>OK</t>
        </is>
      </c>
      <c r="R38" s="28" t="n"/>
      <c r="S38" s="28" t="n"/>
      <c r="T38" s="29" t="n"/>
    </row>
    <row r="39" ht="35.1" customFormat="1" customHeight="1" s="5">
      <c r="A39" s="17" t="n">
        <v>37</v>
      </c>
      <c r="B39" s="17" t="inlineStr">
        <is>
          <t>KIPP10</t>
        </is>
      </c>
      <c r="C39" s="14" t="inlineStr">
        <is>
          <t>10LAB11CF102</t>
        </is>
      </c>
      <c r="D39" s="14" t="inlineStr">
        <is>
          <t>BOILER FEED WATER PUMP A HP DISCHARGE FT</t>
        </is>
      </c>
      <c r="E39" s="84" t="n"/>
      <c r="F39" s="75" t="n">
        <v>-50986</v>
      </c>
      <c r="G39" s="75" t="n">
        <v>50986</v>
      </c>
      <c r="H39" s="39" t="n">
        <v>0</v>
      </c>
      <c r="I39" s="39" t="n">
        <v>7500</v>
      </c>
      <c r="J39" s="4" t="inlineStr">
        <is>
          <t>mmH2O</t>
        </is>
      </c>
      <c r="K39" s="19" t="inlineStr">
        <is>
          <t>YOKOGAWA</t>
        </is>
      </c>
      <c r="L39" s="19" t="inlineStr">
        <is>
          <t>EJA110E</t>
        </is>
      </c>
      <c r="M39" s="19" t="inlineStr">
        <is>
          <t>91S313542</t>
        </is>
      </c>
      <c r="N39" s="2">
        <f>IF(E39="","Waiting","Calibrated")</f>
        <v/>
      </c>
      <c r="O39" s="2" t="n">
        <v>10296356</v>
      </c>
      <c r="P39" s="2" t="inlineStr">
        <is>
          <t>ZM06</t>
        </is>
      </c>
      <c r="Q39" s="2" t="inlineStr">
        <is>
          <t>OK</t>
        </is>
      </c>
      <c r="R39" s="28" t="n"/>
      <c r="S39" s="28" t="n"/>
      <c r="T39" s="29" t="n"/>
    </row>
    <row r="40" ht="35.1" customFormat="1" customHeight="1" s="5">
      <c r="A40" s="17" t="n">
        <v>38</v>
      </c>
      <c r="B40" s="17" t="inlineStr">
        <is>
          <t>KIPP10</t>
        </is>
      </c>
      <c r="C40" s="14" t="inlineStr">
        <is>
          <t>10LAB11CP101</t>
        </is>
      </c>
      <c r="D40" s="14" t="inlineStr">
        <is>
          <t>BOILER FEED WATER PUMP-A HP DISCHARGE PT</t>
        </is>
      </c>
      <c r="E40" s="84" t="n"/>
      <c r="F40" s="75" t="n">
        <v>-1</v>
      </c>
      <c r="G40" s="75" t="n">
        <v>500</v>
      </c>
      <c r="H40" s="39" t="n">
        <v>0</v>
      </c>
      <c r="I40" s="39" t="n">
        <v>218</v>
      </c>
      <c r="J40" s="4" t="inlineStr">
        <is>
          <t>Bar</t>
        </is>
      </c>
      <c r="K40" s="19" t="inlineStr">
        <is>
          <t>YOKOGAWA</t>
        </is>
      </c>
      <c r="L40" s="19" t="inlineStr">
        <is>
          <t>EJA530E</t>
        </is>
      </c>
      <c r="M40" s="19" t="inlineStr">
        <is>
          <t>91S213317</t>
        </is>
      </c>
      <c r="N40" s="2">
        <f>IF(E40="","Waiting","Calibrated")</f>
        <v/>
      </c>
      <c r="O40" s="2" t="n">
        <v>10296357</v>
      </c>
      <c r="P40" s="2" t="inlineStr">
        <is>
          <t>ZM06</t>
        </is>
      </c>
      <c r="Q40" s="2" t="inlineStr">
        <is>
          <t>OK</t>
        </is>
      </c>
      <c r="R40" s="28" t="n"/>
      <c r="S40" s="28" t="n"/>
      <c r="T40" s="29" t="n"/>
    </row>
    <row r="41" ht="35.1" customFormat="1" customHeight="1" s="5">
      <c r="A41" s="17" t="n">
        <v>39</v>
      </c>
      <c r="B41" s="17" t="inlineStr">
        <is>
          <t>KIPP10</t>
        </is>
      </c>
      <c r="C41" s="14" t="inlineStr">
        <is>
          <t>10LAB12CF101</t>
        </is>
      </c>
      <c r="D41" s="14" t="inlineStr">
        <is>
          <t>BOILER FEED WATER PUMP B HP DISCHARGE FT</t>
        </is>
      </c>
      <c r="E41" s="84" t="n"/>
      <c r="F41" s="75" t="n">
        <v>-50986</v>
      </c>
      <c r="G41" s="75" t="n">
        <v>50986</v>
      </c>
      <c r="H41" s="39" t="n">
        <v>0</v>
      </c>
      <c r="I41" s="39" t="n">
        <v>7500</v>
      </c>
      <c r="J41" s="4" t="inlineStr">
        <is>
          <t>mmH2O</t>
        </is>
      </c>
      <c r="K41" s="19" t="inlineStr">
        <is>
          <t>YOKOGAWA</t>
        </is>
      </c>
      <c r="L41" s="19" t="inlineStr">
        <is>
          <t>EJA110E</t>
        </is>
      </c>
      <c r="M41" s="19" t="inlineStr">
        <is>
          <t>91S313540</t>
        </is>
      </c>
      <c r="N41" s="2">
        <f>IF(E41="","Waiting","Calibrated")</f>
        <v/>
      </c>
      <c r="O41" s="2" t="n">
        <v>10296379</v>
      </c>
      <c r="P41" s="2" t="inlineStr">
        <is>
          <t>ZM06</t>
        </is>
      </c>
      <c r="Q41" s="2" t="inlineStr">
        <is>
          <t>OK</t>
        </is>
      </c>
      <c r="R41" s="28" t="n"/>
      <c r="S41" s="28" t="n"/>
      <c r="T41" s="29" t="n"/>
    </row>
    <row r="42" ht="35.1" customFormat="1" customHeight="1" s="5">
      <c r="A42" s="17" t="n">
        <v>40</v>
      </c>
      <c r="B42" s="17" t="inlineStr">
        <is>
          <t>KIPP10</t>
        </is>
      </c>
      <c r="C42" s="14" t="inlineStr">
        <is>
          <t>10LAB12CF102</t>
        </is>
      </c>
      <c r="D42" s="14" t="inlineStr">
        <is>
          <t>BOILER FEED WATER PUMP B HP DISCHARGE FT</t>
        </is>
      </c>
      <c r="E42" s="84" t="n"/>
      <c r="F42" s="75" t="n">
        <v>-50986</v>
      </c>
      <c r="G42" s="75" t="n">
        <v>50986</v>
      </c>
      <c r="H42" s="39" t="n">
        <v>0</v>
      </c>
      <c r="I42" s="39" t="n">
        <v>7500</v>
      </c>
      <c r="J42" s="4" t="inlineStr">
        <is>
          <t>mmH2O</t>
        </is>
      </c>
      <c r="K42" s="19" t="inlineStr">
        <is>
          <t>YOKOGAWA</t>
        </is>
      </c>
      <c r="L42" s="19" t="inlineStr">
        <is>
          <t>EJA110E</t>
        </is>
      </c>
      <c r="M42" s="19" t="inlineStr">
        <is>
          <t>91S313543</t>
        </is>
      </c>
      <c r="N42" s="2">
        <f>IF(E42="","Waiting","Calibrated")</f>
        <v/>
      </c>
      <c r="O42" s="2" t="n">
        <v>10296393</v>
      </c>
      <c r="P42" s="2" t="inlineStr">
        <is>
          <t>ZM06</t>
        </is>
      </c>
      <c r="Q42" s="2" t="inlineStr">
        <is>
          <t>OK</t>
        </is>
      </c>
      <c r="R42" s="28" t="n"/>
      <c r="S42" s="28" t="n"/>
      <c r="T42" s="29" t="n"/>
    </row>
    <row r="43" ht="35.1" customFormat="1" customHeight="1" s="5">
      <c r="A43" s="17" t="n">
        <v>41</v>
      </c>
      <c r="B43" s="17" t="inlineStr">
        <is>
          <t>KIPP10</t>
        </is>
      </c>
      <c r="C43" s="14" t="inlineStr">
        <is>
          <t>10LAB12CP101</t>
        </is>
      </c>
      <c r="D43" s="14" t="inlineStr">
        <is>
          <t>BOILER FEED WATER PUMP-B HP DISCHARGE PT</t>
        </is>
      </c>
      <c r="E43" s="84" t="n"/>
      <c r="F43" s="75" t="n">
        <v>-1</v>
      </c>
      <c r="G43" s="75" t="n">
        <v>500</v>
      </c>
      <c r="H43" s="39" t="n">
        <v>0</v>
      </c>
      <c r="I43" s="39" t="n">
        <v>218</v>
      </c>
      <c r="J43" s="4" t="inlineStr">
        <is>
          <t>Bar</t>
        </is>
      </c>
      <c r="K43" s="19" t="inlineStr">
        <is>
          <t>YOKOGAWA</t>
        </is>
      </c>
      <c r="L43" s="19" t="inlineStr">
        <is>
          <t>EJA530E</t>
        </is>
      </c>
      <c r="M43" s="19" t="inlineStr">
        <is>
          <t>91S213318</t>
        </is>
      </c>
      <c r="N43" s="2">
        <f>IF(E43="","Waiting","Calibrated")</f>
        <v/>
      </c>
      <c r="O43" s="2" t="n">
        <v>10296407</v>
      </c>
      <c r="P43" s="2" t="inlineStr">
        <is>
          <t>ZM06</t>
        </is>
      </c>
      <c r="Q43" s="2" t="inlineStr">
        <is>
          <t>OK</t>
        </is>
      </c>
      <c r="R43" s="28" t="n"/>
      <c r="S43" s="28" t="n"/>
      <c r="T43" s="29" t="n"/>
    </row>
    <row r="44" ht="35.1" customFormat="1" customHeight="1" s="5">
      <c r="A44" s="17" t="n">
        <v>42</v>
      </c>
      <c r="B44" s="17" t="inlineStr">
        <is>
          <t>KIPP10</t>
        </is>
      </c>
      <c r="C44" s="14" t="inlineStr">
        <is>
          <t>10LAB13CF101</t>
        </is>
      </c>
      <c r="D44" s="14" t="inlineStr">
        <is>
          <t>BOILER FEED WATER PUMP C HP DISCHARGE FT</t>
        </is>
      </c>
      <c r="E44" s="84" t="n"/>
      <c r="F44" s="75" t="n">
        <v>-50986</v>
      </c>
      <c r="G44" s="75" t="n">
        <v>50986</v>
      </c>
      <c r="H44" s="39" t="n">
        <v>0</v>
      </c>
      <c r="I44" s="39" t="n">
        <v>7500</v>
      </c>
      <c r="J44" s="4" t="inlineStr">
        <is>
          <t>mmH2O</t>
        </is>
      </c>
      <c r="K44" s="19" t="inlineStr">
        <is>
          <t>YOKOGAWA</t>
        </is>
      </c>
      <c r="L44" s="19" t="inlineStr">
        <is>
          <t>EJA110E</t>
        </is>
      </c>
      <c r="M44" s="19" t="inlineStr">
        <is>
          <t>91S313541</t>
        </is>
      </c>
      <c r="N44" s="2">
        <f>IF(E44="","Waiting","Calibrated")</f>
        <v/>
      </c>
      <c r="O44" s="2" t="n">
        <v>10296455</v>
      </c>
      <c r="P44" s="2" t="inlineStr">
        <is>
          <t>ZM06</t>
        </is>
      </c>
      <c r="Q44" s="2" t="inlineStr">
        <is>
          <t>OK</t>
        </is>
      </c>
      <c r="R44" s="28" t="n"/>
      <c r="S44" s="28" t="n"/>
      <c r="T44" s="29" t="n"/>
    </row>
    <row r="45" ht="35.1" customFormat="1" customHeight="1" s="5">
      <c r="A45" s="17" t="n">
        <v>43</v>
      </c>
      <c r="B45" s="17" t="inlineStr">
        <is>
          <t>KIPP10</t>
        </is>
      </c>
      <c r="C45" s="14" t="inlineStr">
        <is>
          <t>10LAB13CF102</t>
        </is>
      </c>
      <c r="D45" s="14" t="inlineStr">
        <is>
          <t>BOILER FEED WATER PUMP C HP DISCHARGE FT</t>
        </is>
      </c>
      <c r="E45" s="84" t="n"/>
      <c r="F45" s="75" t="n">
        <v>-50986</v>
      </c>
      <c r="G45" s="75" t="n">
        <v>50986</v>
      </c>
      <c r="H45" s="39" t="n">
        <v>0</v>
      </c>
      <c r="I45" s="39" t="n">
        <v>7500</v>
      </c>
      <c r="J45" s="4" t="inlineStr">
        <is>
          <t>mmH2O</t>
        </is>
      </c>
      <c r="K45" s="19" t="inlineStr">
        <is>
          <t>YOKOGAWA</t>
        </is>
      </c>
      <c r="L45" s="19" t="inlineStr">
        <is>
          <t>EJA110E</t>
        </is>
      </c>
      <c r="M45" s="19" t="inlineStr">
        <is>
          <t>91S313544</t>
        </is>
      </c>
      <c r="N45" s="2">
        <f>IF(E45="","Waiting","Calibrated")</f>
        <v/>
      </c>
      <c r="O45" s="2" t="n">
        <v>10296456</v>
      </c>
      <c r="P45" s="2" t="inlineStr">
        <is>
          <t>ZM06</t>
        </is>
      </c>
      <c r="Q45" s="2" t="inlineStr">
        <is>
          <t>OK</t>
        </is>
      </c>
      <c r="R45" s="28" t="n"/>
      <c r="S45" s="28" t="n"/>
      <c r="T45" s="29" t="n"/>
    </row>
    <row r="46" ht="35.1" customFormat="1" customHeight="1" s="5">
      <c r="A46" s="17" t="n">
        <v>44</v>
      </c>
      <c r="B46" s="17" t="inlineStr">
        <is>
          <t>KIPP10</t>
        </is>
      </c>
      <c r="C46" s="14" t="inlineStr">
        <is>
          <t>10LAB13CP101</t>
        </is>
      </c>
      <c r="D46" s="14" t="inlineStr">
        <is>
          <t>BOILER FEED WATER PUMP-C HP DISCHARGE PT</t>
        </is>
      </c>
      <c r="E46" s="84" t="n"/>
      <c r="F46" s="75" t="n">
        <v>-1</v>
      </c>
      <c r="G46" s="75" t="n">
        <v>500</v>
      </c>
      <c r="H46" s="39" t="n">
        <v>0</v>
      </c>
      <c r="I46" s="39" t="n">
        <v>218</v>
      </c>
      <c r="J46" s="4" t="inlineStr">
        <is>
          <t>Bar</t>
        </is>
      </c>
      <c r="K46" s="19" t="inlineStr">
        <is>
          <t>YOKOGAWA</t>
        </is>
      </c>
      <c r="L46" s="19" t="inlineStr">
        <is>
          <t>EJA530E</t>
        </is>
      </c>
      <c r="M46" s="19" t="inlineStr">
        <is>
          <t>91S213319</t>
        </is>
      </c>
      <c r="N46" s="2">
        <f>IF(E46="","Waiting","Calibrated")</f>
        <v/>
      </c>
      <c r="O46" s="2" t="n">
        <v>10296457</v>
      </c>
      <c r="P46" s="2" t="inlineStr">
        <is>
          <t>ZM06</t>
        </is>
      </c>
      <c r="Q46" s="2" t="inlineStr">
        <is>
          <t>OK</t>
        </is>
      </c>
      <c r="R46" s="28" t="n"/>
      <c r="S46" s="31" t="n"/>
      <c r="T46" s="29" t="n"/>
    </row>
    <row r="47" ht="35.1" customFormat="1" customHeight="1" s="5">
      <c r="A47" s="17" t="n">
        <v>45</v>
      </c>
      <c r="B47" s="17" t="inlineStr">
        <is>
          <t>KIPP10</t>
        </is>
      </c>
      <c r="C47" s="14" t="inlineStr">
        <is>
          <t>10LAB15CP101</t>
        </is>
      </c>
      <c r="D47" s="14" t="inlineStr">
        <is>
          <t>CPH PUMP DISCHARGE LINE PT A</t>
        </is>
      </c>
      <c r="E47" s="84" t="n"/>
      <c r="F47" s="75" t="n">
        <v>-1</v>
      </c>
      <c r="G47" s="75" t="n">
        <v>100</v>
      </c>
      <c r="H47" s="39" t="n">
        <v>0</v>
      </c>
      <c r="I47" s="39" t="n">
        <v>39</v>
      </c>
      <c r="J47" s="4" t="inlineStr">
        <is>
          <t>Bar</t>
        </is>
      </c>
      <c r="K47" s="19" t="inlineStr">
        <is>
          <t>YOKOGAWA</t>
        </is>
      </c>
      <c r="L47" s="19" t="inlineStr">
        <is>
          <t>EJA530E</t>
        </is>
      </c>
      <c r="M47" s="19" t="inlineStr">
        <is>
          <t>91S313311</t>
        </is>
      </c>
      <c r="N47" s="2">
        <f>IF(E47="","Waiting","Calibrated")</f>
        <v/>
      </c>
      <c r="O47" s="2" t="n">
        <v>10296467</v>
      </c>
      <c r="P47" s="2" t="inlineStr">
        <is>
          <t>ZM06</t>
        </is>
      </c>
      <c r="Q47" s="2" t="inlineStr">
        <is>
          <t>OK</t>
        </is>
      </c>
      <c r="R47" s="28" t="n"/>
      <c r="S47" s="31" t="n"/>
      <c r="T47" s="29" t="n"/>
    </row>
    <row r="48" ht="35.1" customFormat="1" customHeight="1" s="5">
      <c r="A48" s="17" t="n">
        <v>46</v>
      </c>
      <c r="B48" s="17" t="inlineStr">
        <is>
          <t>KIPP10</t>
        </is>
      </c>
      <c r="C48" s="14" t="inlineStr">
        <is>
          <t>10LAB15CP102</t>
        </is>
      </c>
      <c r="D48" s="14" t="inlineStr">
        <is>
          <t>CPH PUMP DISCHARGE LINE PT B</t>
        </is>
      </c>
      <c r="E48" s="84" t="n"/>
      <c r="F48" s="75" t="n">
        <v>-1</v>
      </c>
      <c r="G48" s="75" t="n">
        <v>100</v>
      </c>
      <c r="H48" s="39" t="n">
        <v>0</v>
      </c>
      <c r="I48" s="39" t="n">
        <v>39</v>
      </c>
      <c r="J48" s="4" t="inlineStr">
        <is>
          <t>Bar</t>
        </is>
      </c>
      <c r="K48" s="19" t="inlineStr">
        <is>
          <t>YOKOGAWA</t>
        </is>
      </c>
      <c r="L48" s="19" t="inlineStr">
        <is>
          <t>EJA530E</t>
        </is>
      </c>
      <c r="M48" s="19" t="inlineStr">
        <is>
          <t>91S313312</t>
        </is>
      </c>
      <c r="N48" s="2">
        <f>IF(E48="","Waiting","Calibrated")</f>
        <v/>
      </c>
      <c r="O48" s="2" t="n">
        <v>10296476</v>
      </c>
      <c r="P48" s="2" t="inlineStr">
        <is>
          <t>ZM06</t>
        </is>
      </c>
      <c r="Q48" s="2" t="inlineStr">
        <is>
          <t>OK</t>
        </is>
      </c>
      <c r="R48" s="28" t="n"/>
      <c r="S48" s="31" t="n"/>
      <c r="T48" s="29" t="n"/>
    </row>
    <row r="49" ht="35.1" customFormat="1" customHeight="1" s="5">
      <c r="A49" s="17" t="n">
        <v>47</v>
      </c>
      <c r="B49" s="17" t="inlineStr">
        <is>
          <t>KIPP10</t>
        </is>
      </c>
      <c r="C49" s="14" t="inlineStr">
        <is>
          <t>10LAB16CP101</t>
        </is>
      </c>
      <c r="D49" s="14" t="inlineStr">
        <is>
          <t>CPH PUMP-A DISCHARGE PRESS.</t>
        </is>
      </c>
      <c r="E49" s="84" t="n"/>
      <c r="F49" s="75" t="n">
        <v>-1</v>
      </c>
      <c r="G49" s="75" t="n">
        <v>100</v>
      </c>
      <c r="H49" s="39" t="n">
        <v>0</v>
      </c>
      <c r="I49" s="39" t="n">
        <v>39</v>
      </c>
      <c r="J49" s="4" t="inlineStr">
        <is>
          <t>Bar</t>
        </is>
      </c>
      <c r="K49" s="19" t="inlineStr">
        <is>
          <t>YOKOGAWA</t>
        </is>
      </c>
      <c r="L49" s="19" t="inlineStr">
        <is>
          <t>EJA530E</t>
        </is>
      </c>
      <c r="M49" s="19" t="inlineStr">
        <is>
          <t>91S213304</t>
        </is>
      </c>
      <c r="N49" s="2">
        <f>IF(E49="","Waiting","Calibrated")</f>
        <v/>
      </c>
      <c r="O49" s="2" t="n">
        <v>10296485</v>
      </c>
      <c r="P49" s="2" t="inlineStr">
        <is>
          <t>ZM06</t>
        </is>
      </c>
      <c r="Q49" s="2" t="inlineStr">
        <is>
          <t>OK</t>
        </is>
      </c>
      <c r="R49" s="28" t="n"/>
      <c r="S49" s="31" t="n"/>
      <c r="T49" s="29" t="n"/>
    </row>
    <row r="50" ht="35.1" customFormat="1" customHeight="1" s="5">
      <c r="A50" s="17" t="n">
        <v>48</v>
      </c>
      <c r="B50" s="17" t="inlineStr">
        <is>
          <t>KIPP10</t>
        </is>
      </c>
      <c r="C50" s="14" t="inlineStr">
        <is>
          <t>10LAB17CP101</t>
        </is>
      </c>
      <c r="D50" s="14" t="inlineStr">
        <is>
          <t>CPH PUMP-B DISCHARGE PRESS.</t>
        </is>
      </c>
      <c r="E50" s="84" t="n"/>
      <c r="F50" s="75" t="n">
        <v>-1</v>
      </c>
      <c r="G50" s="75" t="n">
        <v>100</v>
      </c>
      <c r="H50" s="39" t="n">
        <v>0</v>
      </c>
      <c r="I50" s="39" t="n">
        <v>39</v>
      </c>
      <c r="J50" s="4" t="inlineStr">
        <is>
          <t>Bar</t>
        </is>
      </c>
      <c r="K50" s="19" t="inlineStr">
        <is>
          <t>YOKOGAWA</t>
        </is>
      </c>
      <c r="L50" s="19" t="inlineStr">
        <is>
          <t>EJA530E</t>
        </is>
      </c>
      <c r="M50" s="19" t="inlineStr">
        <is>
          <t>91S313305</t>
        </is>
      </c>
      <c r="N50" s="2">
        <f>IF(E50="","Waiting","Calibrated")</f>
        <v/>
      </c>
      <c r="O50" s="2" t="n">
        <v>10298940</v>
      </c>
      <c r="P50" s="2" t="inlineStr">
        <is>
          <t>ZM06</t>
        </is>
      </c>
      <c r="Q50" s="2" t="inlineStr">
        <is>
          <t>OK</t>
        </is>
      </c>
      <c r="R50" s="28" t="n"/>
      <c r="S50" s="28" t="n"/>
      <c r="T50" s="29" t="n"/>
    </row>
    <row r="51" ht="35.1" customFormat="1" customHeight="1" s="5">
      <c r="A51" s="17" t="n">
        <v>49</v>
      </c>
      <c r="B51" s="17" t="inlineStr">
        <is>
          <t>KIPP10</t>
        </is>
      </c>
      <c r="C51" s="14" t="inlineStr">
        <is>
          <t>10LAB18CP101</t>
        </is>
      </c>
      <c r="D51" s="14" t="inlineStr">
        <is>
          <t>CPH PUMP-C DISCHARGE PRESS.</t>
        </is>
      </c>
      <c r="E51" s="84" t="n"/>
      <c r="F51" s="75" t="n">
        <v>-1</v>
      </c>
      <c r="G51" s="75" t="n">
        <v>100</v>
      </c>
      <c r="H51" s="39" t="n">
        <v>0</v>
      </c>
      <c r="I51" s="39" t="n">
        <v>39</v>
      </c>
      <c r="J51" s="4" t="inlineStr">
        <is>
          <t>Bar</t>
        </is>
      </c>
      <c r="K51" s="19" t="inlineStr">
        <is>
          <t>YOKOGAWA</t>
        </is>
      </c>
      <c r="L51" s="19" t="inlineStr">
        <is>
          <t>EJA530E</t>
        </is>
      </c>
      <c r="M51" s="19" t="inlineStr">
        <is>
          <t>91S313306</t>
        </is>
      </c>
      <c r="N51" s="2">
        <f>IF(E51="","Waiting","Calibrated")</f>
        <v/>
      </c>
      <c r="O51" s="2" t="n">
        <v>10298941</v>
      </c>
      <c r="P51" s="2" t="inlineStr">
        <is>
          <t>ZM06</t>
        </is>
      </c>
      <c r="Q51" s="2" t="inlineStr">
        <is>
          <t>OK</t>
        </is>
      </c>
      <c r="R51" s="28" t="n"/>
      <c r="S51" s="28" t="n"/>
      <c r="T51" s="29" t="n"/>
    </row>
    <row r="52" ht="35.1" customFormat="1" customHeight="1" s="5">
      <c r="A52" s="17" t="n">
        <v>50</v>
      </c>
      <c r="B52" s="17" t="inlineStr">
        <is>
          <t>KIPP10</t>
        </is>
      </c>
      <c r="C52" s="14" t="inlineStr">
        <is>
          <t>10LAB24CF101</t>
        </is>
      </c>
      <c r="D52" s="14" t="inlineStr">
        <is>
          <t>CRH STEAM BYPASS SPRAYAY WATER FT</t>
        </is>
      </c>
      <c r="E52" s="84" t="n">
        <v>46097</v>
      </c>
      <c r="F52" s="75" t="n">
        <v>-10197.2</v>
      </c>
      <c r="G52" s="75" t="n">
        <v>10197.2</v>
      </c>
      <c r="H52" s="39" t="n">
        <v>0</v>
      </c>
      <c r="I52" s="39" t="n">
        <v>2500</v>
      </c>
      <c r="J52" s="4" t="inlineStr">
        <is>
          <t>mmH2O</t>
        </is>
      </c>
      <c r="K52" s="19" t="inlineStr">
        <is>
          <t>YOKOGAWA</t>
        </is>
      </c>
      <c r="L52" s="19" t="inlineStr">
        <is>
          <t>EJA110E</t>
        </is>
      </c>
      <c r="M52" s="19" t="inlineStr">
        <is>
          <t>91S313064</t>
        </is>
      </c>
      <c r="N52" s="2">
        <f>IF(E52="","Waiting","Calibrated")</f>
        <v/>
      </c>
      <c r="O52" s="2" t="n">
        <v>10298942</v>
      </c>
      <c r="P52" s="2" t="inlineStr">
        <is>
          <t>ZM06</t>
        </is>
      </c>
      <c r="Q52" s="2" t="inlineStr">
        <is>
          <t>OK</t>
        </is>
      </c>
      <c r="R52" s="28" t="n"/>
      <c r="S52" s="28" t="n"/>
      <c r="T52" s="29" t="n"/>
    </row>
    <row r="53" ht="35.1" customFormat="1" customHeight="1" s="5">
      <c r="A53" s="17" t="n">
        <v>51</v>
      </c>
      <c r="B53" s="17" t="inlineStr">
        <is>
          <t>KIPP10</t>
        </is>
      </c>
      <c r="C53" s="14" t="inlineStr">
        <is>
          <t>10LAB30CP101</t>
        </is>
      </c>
      <c r="D53" s="14" t="inlineStr">
        <is>
          <t>BOILER FEED WATER PUMP IP DISCHARGE PT-A</t>
        </is>
      </c>
      <c r="E53" s="84" t="n"/>
      <c r="F53" s="75" t="n">
        <v>-1</v>
      </c>
      <c r="G53" s="75" t="n">
        <v>500</v>
      </c>
      <c r="H53" s="39" t="n">
        <v>0</v>
      </c>
      <c r="I53" s="39" t="n">
        <v>81</v>
      </c>
      <c r="J53" s="4" t="inlineStr">
        <is>
          <t>Bar</t>
        </is>
      </c>
      <c r="K53" s="19" t="inlineStr">
        <is>
          <t>YOKOGAWA</t>
        </is>
      </c>
      <c r="L53" s="19" t="inlineStr">
        <is>
          <t>EJA530E</t>
        </is>
      </c>
      <c r="M53" s="19" t="inlineStr">
        <is>
          <t>91S313218</t>
        </is>
      </c>
      <c r="N53" s="2">
        <f>IF(E53="","Waiting","Calibrated")</f>
        <v/>
      </c>
      <c r="O53" s="2" t="n">
        <v>10298998</v>
      </c>
      <c r="P53" s="2" t="inlineStr">
        <is>
          <t>ZM06</t>
        </is>
      </c>
      <c r="Q53" s="2" t="inlineStr">
        <is>
          <t>OK</t>
        </is>
      </c>
      <c r="R53" s="28" t="n"/>
      <c r="S53" s="28" t="n"/>
      <c r="T53" s="29" t="n"/>
    </row>
    <row r="54" ht="35.1" customFormat="1" customHeight="1" s="5">
      <c r="A54" s="17" t="n">
        <v>52</v>
      </c>
      <c r="B54" s="17" t="inlineStr">
        <is>
          <t>KIPP10</t>
        </is>
      </c>
      <c r="C54" s="14" t="inlineStr">
        <is>
          <t>10LAB30CP102</t>
        </is>
      </c>
      <c r="D54" s="14" t="inlineStr">
        <is>
          <t>BOILER FEED WATER PUMP IP DISCHARGE PT-B</t>
        </is>
      </c>
      <c r="E54" s="84" t="n"/>
      <c r="F54" s="75" t="n">
        <v>-1</v>
      </c>
      <c r="G54" s="75" t="n">
        <v>500</v>
      </c>
      <c r="H54" s="39" t="n">
        <v>0</v>
      </c>
      <c r="I54" s="39" t="n">
        <v>81</v>
      </c>
      <c r="J54" s="4" t="inlineStr">
        <is>
          <t>Bar</t>
        </is>
      </c>
      <c r="K54" s="19" t="inlineStr">
        <is>
          <t>YOKOGAWA</t>
        </is>
      </c>
      <c r="L54" s="19" t="inlineStr">
        <is>
          <t>EJA530E</t>
        </is>
      </c>
      <c r="M54" s="19" t="inlineStr">
        <is>
          <t>91S313220</t>
        </is>
      </c>
      <c r="N54" s="2">
        <f>IF(E54="","Waiting","Calibrated")</f>
        <v/>
      </c>
      <c r="O54" s="2" t="n">
        <v>10298999</v>
      </c>
      <c r="P54" s="2" t="inlineStr">
        <is>
          <t>ZM06</t>
        </is>
      </c>
      <c r="Q54" s="2" t="inlineStr">
        <is>
          <t>OK</t>
        </is>
      </c>
      <c r="R54" s="28" t="n"/>
      <c r="S54" s="28" t="n"/>
      <c r="T54" s="29" t="n"/>
    </row>
    <row r="55" ht="35.1" customFormat="1" customHeight="1" s="5">
      <c r="A55" s="17" t="n">
        <v>53</v>
      </c>
      <c r="B55" s="17" t="inlineStr">
        <is>
          <t>KIPP10</t>
        </is>
      </c>
      <c r="C55" s="14" t="inlineStr">
        <is>
          <t>10LAB31CP101</t>
        </is>
      </c>
      <c r="D55" s="14" t="inlineStr">
        <is>
          <t>BFWP A  IP DISCHARGE PRESS.</t>
        </is>
      </c>
      <c r="E55" s="84" t="n"/>
      <c r="F55" s="75" t="n">
        <v>-1</v>
      </c>
      <c r="G55" s="75" t="n">
        <v>100</v>
      </c>
      <c r="H55" s="39" t="n">
        <v>0</v>
      </c>
      <c r="I55" s="39" t="n">
        <v>81</v>
      </c>
      <c r="J55" s="4" t="inlineStr">
        <is>
          <t>Bar</t>
        </is>
      </c>
      <c r="K55" s="19" t="inlineStr">
        <is>
          <t>YOKOGAWA</t>
        </is>
      </c>
      <c r="L55" s="19" t="inlineStr">
        <is>
          <t>EJA530E</t>
        </is>
      </c>
      <c r="M55" s="19" t="inlineStr">
        <is>
          <t>91S313299</t>
        </is>
      </c>
      <c r="N55" s="2">
        <f>IF(E55="","Waiting","Calibrated")</f>
        <v/>
      </c>
      <c r="O55" s="2" t="n">
        <v>10299000</v>
      </c>
      <c r="P55" s="2" t="inlineStr">
        <is>
          <t>ZM06</t>
        </is>
      </c>
      <c r="Q55" s="2" t="inlineStr">
        <is>
          <t>OK</t>
        </is>
      </c>
      <c r="R55" s="28" t="n"/>
      <c r="S55" s="28" t="n"/>
      <c r="T55" s="29" t="n"/>
    </row>
    <row r="56" ht="35.1" customFormat="1" customHeight="1" s="5">
      <c r="A56" s="17" t="n">
        <v>54</v>
      </c>
      <c r="B56" s="17" t="inlineStr">
        <is>
          <t>KIPP10</t>
        </is>
      </c>
      <c r="C56" s="14" t="inlineStr">
        <is>
          <t>10LAB32CP101</t>
        </is>
      </c>
      <c r="D56" s="14" t="inlineStr">
        <is>
          <t>BFWP B IP DISCHARGE PRESS.</t>
        </is>
      </c>
      <c r="E56" s="84" t="n"/>
      <c r="F56" s="75" t="n">
        <v>-1</v>
      </c>
      <c r="G56" s="75" t="n">
        <v>100</v>
      </c>
      <c r="H56" s="39" t="n">
        <v>0</v>
      </c>
      <c r="I56" s="39" t="n">
        <v>81</v>
      </c>
      <c r="J56" s="4" t="inlineStr">
        <is>
          <t>Bar</t>
        </is>
      </c>
      <c r="K56" s="19" t="inlineStr">
        <is>
          <t>YOKOGAWA</t>
        </is>
      </c>
      <c r="L56" s="19" t="inlineStr">
        <is>
          <t>EJA530E</t>
        </is>
      </c>
      <c r="M56" s="19" t="inlineStr">
        <is>
          <t>91S313300</t>
        </is>
      </c>
      <c r="N56" s="2">
        <f>IF(E56="","Waiting","Calibrated")</f>
        <v/>
      </c>
      <c r="O56" s="2" t="n">
        <v>10299082</v>
      </c>
      <c r="P56" s="2" t="inlineStr">
        <is>
          <t>ZM06</t>
        </is>
      </c>
      <c r="Q56" s="2" t="inlineStr">
        <is>
          <t>OK</t>
        </is>
      </c>
      <c r="R56" s="28" t="n"/>
      <c r="S56" s="28" t="n"/>
      <c r="T56" s="29" t="n"/>
    </row>
    <row r="57" ht="35.1" customFormat="1" customHeight="1" s="5">
      <c r="A57" s="17" t="n">
        <v>55</v>
      </c>
      <c r="B57" s="17" t="inlineStr">
        <is>
          <t>KIPP10</t>
        </is>
      </c>
      <c r="C57" s="14" t="inlineStr">
        <is>
          <t>10LAB33CP101</t>
        </is>
      </c>
      <c r="D57" s="14" t="inlineStr">
        <is>
          <t>BFWP C IP DISCHARGE PRESS.</t>
        </is>
      </c>
      <c r="E57" s="84" t="n"/>
      <c r="F57" s="75" t="n">
        <v>-1</v>
      </c>
      <c r="G57" s="75" t="n">
        <v>100</v>
      </c>
      <c r="H57" s="39" t="n">
        <v>0</v>
      </c>
      <c r="I57" s="39" t="n">
        <v>81</v>
      </c>
      <c r="J57" s="4" t="inlineStr">
        <is>
          <t>Bar</t>
        </is>
      </c>
      <c r="K57" s="19" t="inlineStr">
        <is>
          <t>YOKOGAWA</t>
        </is>
      </c>
      <c r="L57" s="19" t="inlineStr">
        <is>
          <t>EJA530E</t>
        </is>
      </c>
      <c r="M57" s="19" t="inlineStr">
        <is>
          <t>91S313301</t>
        </is>
      </c>
      <c r="N57" s="2">
        <f>IF(E57="","Waiting","Calibrated")</f>
        <v/>
      </c>
      <c r="O57" s="2" t="n">
        <v>10299083</v>
      </c>
      <c r="P57" s="2" t="inlineStr">
        <is>
          <t>ZM06</t>
        </is>
      </c>
      <c r="Q57" s="2" t="inlineStr">
        <is>
          <t>OK</t>
        </is>
      </c>
      <c r="R57" s="28" t="n"/>
      <c r="S57" s="28" t="n"/>
      <c r="T57" s="29" t="n"/>
    </row>
    <row r="58" ht="35.1" customFormat="1" customHeight="1" s="5">
      <c r="A58" s="17" t="n">
        <v>56</v>
      </c>
      <c r="B58" s="17" t="inlineStr">
        <is>
          <t>KIPP10</t>
        </is>
      </c>
      <c r="C58" s="14" t="inlineStr">
        <is>
          <t>10LBA10CP001</t>
        </is>
      </c>
      <c r="D58" s="14" t="inlineStr">
        <is>
          <t>P LP STEAM BFR ST</t>
        </is>
      </c>
      <c r="E58" s="84" t="n">
        <v>46104</v>
      </c>
      <c r="F58" s="75" t="n">
        <v>-1</v>
      </c>
      <c r="G58" s="75" t="n">
        <v>20</v>
      </c>
      <c r="H58" s="39" t="n">
        <v>-1</v>
      </c>
      <c r="I58" s="39" t="n">
        <v>10</v>
      </c>
      <c r="J58" s="4" t="inlineStr">
        <is>
          <t>Bar</t>
        </is>
      </c>
      <c r="K58" s="19" t="inlineStr">
        <is>
          <t>YOKOGAWA</t>
        </is>
      </c>
      <c r="L58" s="19" t="inlineStr">
        <is>
          <t>EJA530E</t>
        </is>
      </c>
      <c r="M58" s="19" t="inlineStr">
        <is>
          <t>91S313251</t>
        </is>
      </c>
      <c r="N58" s="2">
        <f>IF(E58="","Waiting","Calibrated")</f>
        <v/>
      </c>
      <c r="O58" s="2" t="n">
        <v>10299084</v>
      </c>
      <c r="P58" s="2" t="inlineStr">
        <is>
          <t>ZM06</t>
        </is>
      </c>
      <c r="Q58" s="2" t="inlineStr">
        <is>
          <t>OK</t>
        </is>
      </c>
      <c r="R58" s="28" t="n"/>
      <c r="S58" s="28" t="n"/>
      <c r="T58" s="29" t="n"/>
    </row>
    <row r="59" ht="35.1" customFormat="1" customHeight="1" s="5">
      <c r="A59" s="17" t="n">
        <v>57</v>
      </c>
      <c r="B59" s="17" t="inlineStr">
        <is>
          <t>KIPP10</t>
        </is>
      </c>
      <c r="C59" s="14" t="inlineStr">
        <is>
          <t>10LBA10CP002</t>
        </is>
      </c>
      <c r="D59" s="14" t="inlineStr">
        <is>
          <t>P LP STEAM BFR ST</t>
        </is>
      </c>
      <c r="E59" s="84" t="n">
        <v>46104</v>
      </c>
      <c r="F59" s="75" t="n">
        <v>-1</v>
      </c>
      <c r="G59" s="75" t="n">
        <v>20</v>
      </c>
      <c r="H59" s="39" t="n">
        <v>-1</v>
      </c>
      <c r="I59" s="39" t="n">
        <v>10</v>
      </c>
      <c r="J59" s="4" t="inlineStr">
        <is>
          <t>Bar</t>
        </is>
      </c>
      <c r="K59" s="19" t="inlineStr">
        <is>
          <t>YOKOGAWA</t>
        </is>
      </c>
      <c r="L59" s="19" t="inlineStr">
        <is>
          <t>EJA530E</t>
        </is>
      </c>
      <c r="M59" s="19" t="inlineStr">
        <is>
          <t>91S313252</t>
        </is>
      </c>
      <c r="N59" s="2">
        <f>IF(E59="","Waiting","Calibrated")</f>
        <v/>
      </c>
      <c r="O59" s="2" t="n">
        <v>10299199</v>
      </c>
      <c r="P59" s="2" t="inlineStr">
        <is>
          <t>ZM06</t>
        </is>
      </c>
      <c r="Q59" s="2" t="inlineStr">
        <is>
          <t>OK</t>
        </is>
      </c>
      <c r="R59" s="28" t="n"/>
      <c r="S59" s="28" t="n"/>
      <c r="T59" s="29" t="n"/>
    </row>
    <row r="60" ht="35.1" customFormat="1" customHeight="1" s="5">
      <c r="A60" s="17" t="n">
        <v>58</v>
      </c>
      <c r="B60" s="17" t="inlineStr">
        <is>
          <t>KIPP10</t>
        </is>
      </c>
      <c r="C60" s="14" t="inlineStr">
        <is>
          <t>10LBA50CP001</t>
        </is>
      </c>
      <c r="D60" s="14" t="inlineStr">
        <is>
          <t>P HP STEAM BFR ST</t>
        </is>
      </c>
      <c r="E60" s="84" t="n">
        <v>46099</v>
      </c>
      <c r="F60" s="75" t="n">
        <v>-1</v>
      </c>
      <c r="G60" s="75" t="n">
        <v>500</v>
      </c>
      <c r="H60" s="39" t="n">
        <v>-1</v>
      </c>
      <c r="I60" s="39" t="n">
        <v>150</v>
      </c>
      <c r="J60" s="4" t="inlineStr">
        <is>
          <t>Bar</t>
        </is>
      </c>
      <c r="K60" s="19" t="inlineStr">
        <is>
          <t>YOKOGAWA</t>
        </is>
      </c>
      <c r="L60" s="19" t="inlineStr">
        <is>
          <t>EJA530E</t>
        </is>
      </c>
      <c r="M60" s="19" t="inlineStr">
        <is>
          <t>91S313322</t>
        </is>
      </c>
      <c r="N60" s="2">
        <f>IF(E60="","Waiting","Calibrated")</f>
        <v/>
      </c>
      <c r="O60" s="2" t="n">
        <v>10299271</v>
      </c>
      <c r="P60" s="2" t="inlineStr">
        <is>
          <t>ZM06</t>
        </is>
      </c>
      <c r="Q60" s="2" t="inlineStr">
        <is>
          <t>OK</t>
        </is>
      </c>
      <c r="R60" s="28" t="n"/>
      <c r="S60" s="28" t="n"/>
      <c r="T60" s="29" t="n"/>
    </row>
    <row r="61" ht="35.1" customFormat="1" customHeight="1" s="5">
      <c r="A61" s="17" t="n">
        <v>59</v>
      </c>
      <c r="B61" s="17" t="inlineStr">
        <is>
          <t>KIPP10</t>
        </is>
      </c>
      <c r="C61" s="14" t="inlineStr">
        <is>
          <t>10LBA50CP002</t>
        </is>
      </c>
      <c r="D61" s="14" t="inlineStr">
        <is>
          <t>P HP STEAM BFR ST</t>
        </is>
      </c>
      <c r="E61" s="84" t="n">
        <v>46099</v>
      </c>
      <c r="F61" s="75" t="n">
        <v>-1</v>
      </c>
      <c r="G61" s="75" t="n">
        <v>500</v>
      </c>
      <c r="H61" s="39" t="n">
        <v>-1</v>
      </c>
      <c r="I61" s="39" t="n">
        <v>150</v>
      </c>
      <c r="J61" s="4" t="inlineStr">
        <is>
          <t>Bar</t>
        </is>
      </c>
      <c r="K61" s="19" t="inlineStr">
        <is>
          <t>YOKOGAWA</t>
        </is>
      </c>
      <c r="L61" s="19" t="inlineStr">
        <is>
          <t>EJA530E</t>
        </is>
      </c>
      <c r="M61" s="19" t="inlineStr">
        <is>
          <t>91S313323</t>
        </is>
      </c>
      <c r="N61" s="2">
        <f>IF(E61="","Waiting","Calibrated")</f>
        <v/>
      </c>
      <c r="O61" s="2" t="n">
        <v>10299366</v>
      </c>
      <c r="P61" s="2" t="inlineStr">
        <is>
          <t>ZM06</t>
        </is>
      </c>
      <c r="Q61" s="2" t="inlineStr">
        <is>
          <t>OK</t>
        </is>
      </c>
      <c r="R61" s="28" t="n"/>
      <c r="S61" s="28" t="n"/>
      <c r="T61" s="29" t="n"/>
    </row>
    <row r="62" ht="35.1" customFormat="1" customHeight="1" s="5">
      <c r="A62" s="17" t="n">
        <v>60</v>
      </c>
      <c r="B62" s="17" t="inlineStr">
        <is>
          <t>KIPP10</t>
        </is>
      </c>
      <c r="C62" s="14" t="inlineStr">
        <is>
          <t>10LBB41CP001</t>
        </is>
      </c>
      <c r="D62" s="14" t="inlineStr">
        <is>
          <t>P IP STEAM BFR ST</t>
        </is>
      </c>
      <c r="E62" s="84" t="n">
        <v>46099</v>
      </c>
      <c r="F62" s="75" t="n">
        <v>-1</v>
      </c>
      <c r="G62" s="75" t="n">
        <v>100</v>
      </c>
      <c r="H62" s="39" t="n">
        <v>-1</v>
      </c>
      <c r="I62" s="39" t="n">
        <v>40</v>
      </c>
      <c r="J62" s="4" t="inlineStr">
        <is>
          <t>Bar</t>
        </is>
      </c>
      <c r="K62" s="19" t="inlineStr">
        <is>
          <t>YOKOGAWA</t>
        </is>
      </c>
      <c r="L62" s="19" t="inlineStr">
        <is>
          <t>EJA530E</t>
        </is>
      </c>
      <c r="M62" s="19" t="inlineStr">
        <is>
          <t>91S313307</t>
        </is>
      </c>
      <c r="N62" s="2">
        <f>IF(E62="","Waiting","Calibrated")</f>
        <v/>
      </c>
      <c r="O62" s="2" t="n">
        <v>10299391</v>
      </c>
      <c r="P62" s="2" t="inlineStr">
        <is>
          <t>ZM06</t>
        </is>
      </c>
      <c r="Q62" s="2" t="inlineStr">
        <is>
          <t>OK</t>
        </is>
      </c>
      <c r="R62" s="28" t="n"/>
      <c r="S62" s="28" t="n"/>
      <c r="T62" s="29" t="n"/>
    </row>
    <row r="63" ht="35.1" customFormat="1" customHeight="1" s="5">
      <c r="A63" s="17" t="n">
        <v>61</v>
      </c>
      <c r="B63" s="17" t="inlineStr">
        <is>
          <t>KIPP10</t>
        </is>
      </c>
      <c r="C63" s="14" t="inlineStr">
        <is>
          <t>10LBB42CP001</t>
        </is>
      </c>
      <c r="D63" s="14" t="inlineStr">
        <is>
          <t>P IP STEAM BFR ST</t>
        </is>
      </c>
      <c r="E63" s="84" t="n">
        <v>46099</v>
      </c>
      <c r="F63" s="75" t="n">
        <v>-1</v>
      </c>
      <c r="G63" s="75" t="n">
        <v>100</v>
      </c>
      <c r="H63" s="39" t="n">
        <v>-1</v>
      </c>
      <c r="I63" s="39" t="n">
        <v>40</v>
      </c>
      <c r="J63" s="4" t="inlineStr">
        <is>
          <t>Bar</t>
        </is>
      </c>
      <c r="K63" s="19" t="inlineStr">
        <is>
          <t>YOKOGAWA</t>
        </is>
      </c>
      <c r="L63" s="19" t="inlineStr">
        <is>
          <t>EJA530E</t>
        </is>
      </c>
      <c r="M63" s="19" t="inlineStr">
        <is>
          <t>91S313308</t>
        </is>
      </c>
      <c r="N63" s="2">
        <f>IF(E63="","Waiting","Calibrated")</f>
        <v/>
      </c>
      <c r="O63" s="2" t="n">
        <v>10299398</v>
      </c>
      <c r="P63" s="2" t="inlineStr">
        <is>
          <t>ZM06</t>
        </is>
      </c>
      <c r="Q63" s="2" t="inlineStr">
        <is>
          <t>OK</t>
        </is>
      </c>
      <c r="R63" s="28" t="n"/>
      <c r="S63" s="28" t="n"/>
      <c r="T63" s="29" t="n"/>
    </row>
    <row r="64" ht="35.1" customFormat="1" customHeight="1" s="5">
      <c r="A64" s="17" t="n">
        <v>62</v>
      </c>
      <c r="B64" s="17" t="inlineStr">
        <is>
          <t>KIPP10</t>
        </is>
      </c>
      <c r="C64" s="14" t="inlineStr">
        <is>
          <t>10LBC10CP001</t>
        </is>
      </c>
      <c r="D64" s="14" t="inlineStr">
        <is>
          <t>P CLD RH STEAM AFT ST</t>
        </is>
      </c>
      <c r="E64" s="84" t="n">
        <v>46099</v>
      </c>
      <c r="F64" s="75" t="n">
        <v>-1</v>
      </c>
      <c r="G64" s="75" t="n">
        <v>100</v>
      </c>
      <c r="H64" s="39" t="n">
        <v>-1</v>
      </c>
      <c r="I64" s="39" t="n">
        <v>50</v>
      </c>
      <c r="J64" s="4" t="inlineStr">
        <is>
          <t>Bar</t>
        </is>
      </c>
      <c r="K64" s="19" t="inlineStr">
        <is>
          <t>YOKOGAWA</t>
        </is>
      </c>
      <c r="L64" s="19" t="inlineStr">
        <is>
          <t>EJA530E</t>
        </is>
      </c>
      <c r="M64" s="19" t="inlineStr">
        <is>
          <t>91S313289</t>
        </is>
      </c>
      <c r="N64" s="2">
        <f>IF(E64="","Waiting","Calibrated")</f>
        <v/>
      </c>
      <c r="O64" s="2" t="n">
        <v>10299399</v>
      </c>
      <c r="P64" s="2" t="inlineStr">
        <is>
          <t>ZM06</t>
        </is>
      </c>
      <c r="Q64" s="2" t="inlineStr">
        <is>
          <t>OK</t>
        </is>
      </c>
      <c r="R64" s="28" t="n"/>
      <c r="S64" s="28" t="n"/>
      <c r="T64" s="29" t="n"/>
    </row>
    <row r="65" ht="35.1" customFormat="1" customHeight="1" s="5">
      <c r="A65" s="17" t="n">
        <v>63</v>
      </c>
      <c r="B65" s="17" t="inlineStr">
        <is>
          <t>KIPP10</t>
        </is>
      </c>
      <c r="C65" s="14" t="inlineStr">
        <is>
          <t>10LBC10CP002</t>
        </is>
      </c>
      <c r="D65" s="14" t="inlineStr">
        <is>
          <t>P CLD RH STEAM AFT ST</t>
        </is>
      </c>
      <c r="E65" s="84" t="n">
        <v>46099</v>
      </c>
      <c r="F65" s="75" t="n">
        <v>-1</v>
      </c>
      <c r="G65" s="75" t="n">
        <v>100</v>
      </c>
      <c r="H65" s="39" t="n">
        <v>-1</v>
      </c>
      <c r="I65" s="39" t="n">
        <v>50</v>
      </c>
      <c r="J65" s="4" t="inlineStr">
        <is>
          <t>Bar</t>
        </is>
      </c>
      <c r="K65" s="19" t="inlineStr">
        <is>
          <t>YOKOGAWA</t>
        </is>
      </c>
      <c r="L65" s="19" t="inlineStr">
        <is>
          <t>EJA530E</t>
        </is>
      </c>
      <c r="M65" s="19" t="inlineStr">
        <is>
          <t>91S313290</t>
        </is>
      </c>
      <c r="N65" s="2">
        <f>IF(E65="","Waiting","Calibrated")</f>
        <v/>
      </c>
      <c r="O65" s="2" t="n">
        <v>10299422</v>
      </c>
      <c r="P65" s="2" t="inlineStr">
        <is>
          <t>ZM06</t>
        </is>
      </c>
      <c r="Q65" s="2" t="inlineStr">
        <is>
          <t>OK</t>
        </is>
      </c>
      <c r="R65" s="28" t="n"/>
      <c r="S65" s="28" t="n"/>
      <c r="T65" s="29" t="n"/>
    </row>
    <row r="66" ht="35.1" customFormat="1" customHeight="1" s="5">
      <c r="A66" s="17" t="n">
        <v>64</v>
      </c>
      <c r="B66" s="17" t="inlineStr">
        <is>
          <t>KIPP10</t>
        </is>
      </c>
      <c r="C66" s="14" t="inlineStr">
        <is>
          <t>10LBC10CP003</t>
        </is>
      </c>
      <c r="D66" s="14" t="inlineStr">
        <is>
          <t>P CLD RH STEAM AFT ST</t>
        </is>
      </c>
      <c r="E66" s="84" t="n">
        <v>46099</v>
      </c>
      <c r="F66" s="75" t="n">
        <v>-1</v>
      </c>
      <c r="G66" s="75" t="n">
        <v>100</v>
      </c>
      <c r="H66" s="39" t="n">
        <v>-1</v>
      </c>
      <c r="I66" s="39" t="n">
        <v>50</v>
      </c>
      <c r="J66" s="4" t="inlineStr">
        <is>
          <t>Bar</t>
        </is>
      </c>
      <c r="K66" s="19" t="inlineStr">
        <is>
          <t>YOKOGAWA</t>
        </is>
      </c>
      <c r="L66" s="19" t="inlineStr">
        <is>
          <t>EJA530E</t>
        </is>
      </c>
      <c r="M66" s="19" t="inlineStr">
        <is>
          <t>91S313291</t>
        </is>
      </c>
      <c r="N66" s="2">
        <f>IF(E66="","Waiting","Calibrated")</f>
        <v/>
      </c>
      <c r="O66" s="2" t="n">
        <v>10299442</v>
      </c>
      <c r="P66" s="2" t="inlineStr">
        <is>
          <t>ZM06</t>
        </is>
      </c>
      <c r="Q66" s="2" t="inlineStr">
        <is>
          <t>OK</t>
        </is>
      </c>
      <c r="R66" s="28" t="n"/>
      <c r="S66" s="28" t="n"/>
      <c r="T66" s="29" t="n"/>
    </row>
    <row r="67" ht="35.1" customFormat="1" customHeight="1" s="5">
      <c r="A67" s="17" t="n">
        <v>65</v>
      </c>
      <c r="B67" s="17" t="inlineStr">
        <is>
          <t>KIPP10</t>
        </is>
      </c>
      <c r="C67" s="14" t="inlineStr">
        <is>
          <t>10LBC10CP101</t>
        </is>
      </c>
      <c r="D67" s="14" t="inlineStr">
        <is>
          <t>STG 10 COLD REHEAT STEAM PRESS.</t>
        </is>
      </c>
      <c r="E67" s="84" t="n">
        <v>46099</v>
      </c>
      <c r="F67" s="75" t="n">
        <v>-1</v>
      </c>
      <c r="G67" s="75" t="n">
        <v>100</v>
      </c>
      <c r="H67" s="39" t="n">
        <v>0</v>
      </c>
      <c r="I67" s="39" t="n">
        <v>43</v>
      </c>
      <c r="J67" s="4" t="inlineStr">
        <is>
          <t>Bar</t>
        </is>
      </c>
      <c r="K67" s="19" t="inlineStr">
        <is>
          <t>YOKOGAWA</t>
        </is>
      </c>
      <c r="L67" s="19" t="inlineStr">
        <is>
          <t>EJA530E</t>
        </is>
      </c>
      <c r="M67" s="19" t="inlineStr">
        <is>
          <t>91S313286</t>
        </is>
      </c>
      <c r="N67" s="2">
        <f>IF(E67="","Waiting","Calibrated")</f>
        <v/>
      </c>
      <c r="O67" s="2" t="n">
        <v>10299447</v>
      </c>
      <c r="P67" s="2" t="inlineStr">
        <is>
          <t>ZM06</t>
        </is>
      </c>
      <c r="Q67" s="2" t="inlineStr">
        <is>
          <t>OK</t>
        </is>
      </c>
      <c r="R67" s="28" t="n"/>
      <c r="S67" s="28" t="n"/>
      <c r="T67" s="29" t="n"/>
    </row>
    <row r="68" ht="35.1" customFormat="1" customHeight="1" s="5">
      <c r="A68" s="17" t="n">
        <v>66</v>
      </c>
      <c r="B68" s="17" t="inlineStr">
        <is>
          <t>KIPP10</t>
        </is>
      </c>
      <c r="C68" s="14" t="inlineStr">
        <is>
          <t>10LBG00CP101</t>
        </is>
      </c>
      <c r="D68" s="14" t="inlineStr">
        <is>
          <t>AUXILIARY STEAM LINE PRESS.</t>
        </is>
      </c>
      <c r="E68" s="84" t="n">
        <v>46104</v>
      </c>
      <c r="F68" s="75" t="n">
        <v>-1</v>
      </c>
      <c r="G68" s="75" t="n">
        <v>100</v>
      </c>
      <c r="H68" s="39" t="n">
        <v>0</v>
      </c>
      <c r="I68" s="39" t="n">
        <v>43</v>
      </c>
      <c r="J68" s="4" t="inlineStr">
        <is>
          <t>Bar</t>
        </is>
      </c>
      <c r="K68" s="19" t="inlineStr">
        <is>
          <t>YOKOGAWA</t>
        </is>
      </c>
      <c r="L68" s="19" t="inlineStr">
        <is>
          <t>EJA530E</t>
        </is>
      </c>
      <c r="M68" s="19" t="inlineStr">
        <is>
          <t>91S313292</t>
        </is>
      </c>
      <c r="N68" s="2">
        <f>IF(E68="","Waiting","Calibrated")</f>
        <v/>
      </c>
      <c r="O68" s="2" t="n">
        <v>10299448</v>
      </c>
      <c r="P68" s="2" t="inlineStr">
        <is>
          <t>ZM06</t>
        </is>
      </c>
      <c r="Q68" s="2" t="inlineStr">
        <is>
          <t>OK</t>
        </is>
      </c>
      <c r="R68" s="28" t="n"/>
      <c r="S68" s="28" t="n"/>
      <c r="T68" s="29" t="n"/>
    </row>
    <row r="69" ht="35.1" customFormat="1" customHeight="1" s="5">
      <c r="A69" s="17" t="n">
        <v>67</v>
      </c>
      <c r="B69" s="17" t="inlineStr">
        <is>
          <t>KIPP10</t>
        </is>
      </c>
      <c r="C69" s="14" t="inlineStr">
        <is>
          <t>10LBG00CP102</t>
        </is>
      </c>
      <c r="D69" s="14" t="inlineStr">
        <is>
          <t>AUXILIARY STEAM LINE PRESS.</t>
        </is>
      </c>
      <c r="E69" s="84" t="n">
        <v>46104</v>
      </c>
      <c r="F69" s="75" t="n">
        <v>-1</v>
      </c>
      <c r="G69" s="75" t="n">
        <v>100</v>
      </c>
      <c r="H69" s="39" t="n">
        <v>0</v>
      </c>
      <c r="I69" s="39" t="n">
        <v>43</v>
      </c>
      <c r="J69" s="4" t="inlineStr">
        <is>
          <t>Bar</t>
        </is>
      </c>
      <c r="K69" s="19" t="inlineStr">
        <is>
          <t>YOKOGAWA</t>
        </is>
      </c>
      <c r="L69" s="19" t="inlineStr">
        <is>
          <t>EJA530E</t>
        </is>
      </c>
      <c r="M69" s="19" t="inlineStr">
        <is>
          <t>91S313293</t>
        </is>
      </c>
      <c r="N69" s="2">
        <f>IF(E69="","Waiting","Calibrated")</f>
        <v/>
      </c>
      <c r="O69" s="2" t="n">
        <v>10299480</v>
      </c>
      <c r="P69" s="2" t="inlineStr">
        <is>
          <t>ZM06</t>
        </is>
      </c>
      <c r="Q69" s="2" t="inlineStr">
        <is>
          <t>OK</t>
        </is>
      </c>
      <c r="R69" s="28" t="n"/>
      <c r="S69" s="28" t="n"/>
      <c r="T69" s="29" t="n"/>
    </row>
    <row r="70" ht="35.1" customFormat="1" customHeight="1" s="5">
      <c r="A70" s="17" t="n">
        <v>68</v>
      </c>
      <c r="B70" s="17" t="inlineStr">
        <is>
          <t>KIPP10</t>
        </is>
      </c>
      <c r="C70" s="14" t="inlineStr">
        <is>
          <t>10LCA01CP102</t>
        </is>
      </c>
      <c r="D70" s="14" t="inlineStr">
        <is>
          <t>CONDENSATE EXTRACTION PUMP-A SUCTION PT</t>
        </is>
      </c>
      <c r="E70" s="84" t="n"/>
      <c r="F70" s="75" t="n">
        <v>-1</v>
      </c>
      <c r="G70" s="75" t="n">
        <v>20</v>
      </c>
      <c r="H70" s="39" t="n">
        <v>-1</v>
      </c>
      <c r="I70" s="39" t="n">
        <v>3</v>
      </c>
      <c r="J70" s="4" t="inlineStr">
        <is>
          <t>Bar</t>
        </is>
      </c>
      <c r="K70" s="19" t="inlineStr">
        <is>
          <t>YOKOGAWA</t>
        </is>
      </c>
      <c r="L70" s="19" t="inlineStr">
        <is>
          <t>EJA530E</t>
        </is>
      </c>
      <c r="M70" s="19" t="inlineStr">
        <is>
          <t>91S313253</t>
        </is>
      </c>
      <c r="N70" s="2">
        <f>IF(E70="","Waiting","Calibrated")</f>
        <v/>
      </c>
      <c r="O70" s="2" t="n">
        <v>10299508</v>
      </c>
      <c r="P70" s="2" t="inlineStr">
        <is>
          <t>ZM06</t>
        </is>
      </c>
      <c r="Q70" s="2" t="n"/>
      <c r="R70" s="28" t="n"/>
      <c r="S70" s="28" t="n"/>
      <c r="T70" s="29" t="n"/>
    </row>
    <row r="71" ht="35.1" customFormat="1" customHeight="1" s="5">
      <c r="A71" s="17" t="n">
        <v>69</v>
      </c>
      <c r="B71" s="17" t="inlineStr">
        <is>
          <t>KIPP10</t>
        </is>
      </c>
      <c r="C71" s="14" t="inlineStr">
        <is>
          <t>10LCA02CP102</t>
        </is>
      </c>
      <c r="D71" s="14" t="inlineStr">
        <is>
          <t>CONDENSATE EXTRACTION PUMP-B SUCTION PT</t>
        </is>
      </c>
      <c r="E71" s="84" t="n"/>
      <c r="F71" s="75" t="n">
        <v>-1</v>
      </c>
      <c r="G71" s="75" t="n">
        <v>20</v>
      </c>
      <c r="H71" s="39" t="n">
        <v>-1</v>
      </c>
      <c r="I71" s="39" t="n">
        <v>3</v>
      </c>
      <c r="J71" s="4" t="inlineStr">
        <is>
          <t>Bar</t>
        </is>
      </c>
      <c r="K71" s="19" t="inlineStr">
        <is>
          <t>YOKOGAWA</t>
        </is>
      </c>
      <c r="L71" s="19" t="inlineStr">
        <is>
          <t>EJA530E</t>
        </is>
      </c>
      <c r="M71" s="19" t="inlineStr">
        <is>
          <t>91S313254</t>
        </is>
      </c>
      <c r="N71" s="2">
        <f>IF(E71="","Waiting","Calibrated")</f>
        <v/>
      </c>
      <c r="O71" s="2" t="n">
        <v>10299516</v>
      </c>
      <c r="P71" s="2" t="inlineStr">
        <is>
          <t>ZM06</t>
        </is>
      </c>
      <c r="Q71" s="2" t="n"/>
      <c r="R71" s="28" t="n"/>
      <c r="S71" s="28" t="n"/>
      <c r="T71" s="29" t="n"/>
    </row>
    <row r="72" ht="35.1" customFormat="1" customHeight="1" s="5">
      <c r="A72" s="17" t="n">
        <v>70</v>
      </c>
      <c r="B72" s="17" t="inlineStr">
        <is>
          <t>KIPP10</t>
        </is>
      </c>
      <c r="C72" s="14" t="inlineStr">
        <is>
          <t>10LCA03CP102</t>
        </is>
      </c>
      <c r="D72" s="14" t="inlineStr">
        <is>
          <t>CONDENSATE EXTRACTION PUMP-C SUCTION PT</t>
        </is>
      </c>
      <c r="E72" s="84" t="n"/>
      <c r="F72" s="75" t="n">
        <v>-1</v>
      </c>
      <c r="G72" s="75" t="n">
        <v>20</v>
      </c>
      <c r="H72" s="39" t="n">
        <v>-1</v>
      </c>
      <c r="I72" s="39" t="n">
        <v>3</v>
      </c>
      <c r="J72" s="4" t="inlineStr">
        <is>
          <t>Bar</t>
        </is>
      </c>
      <c r="K72" s="19" t="inlineStr">
        <is>
          <t>YOKOGAWA</t>
        </is>
      </c>
      <c r="L72" s="19" t="inlineStr">
        <is>
          <t>EJA530E</t>
        </is>
      </c>
      <c r="M72" s="19" t="inlineStr">
        <is>
          <t>91S313255</t>
        </is>
      </c>
      <c r="N72" s="2">
        <f>IF(E72="","Waiting","Calibrated")</f>
        <v/>
      </c>
      <c r="O72" s="2" t="n">
        <v>10299517</v>
      </c>
      <c r="P72" s="2" t="inlineStr">
        <is>
          <t>ZM06</t>
        </is>
      </c>
      <c r="Q72" s="2" t="n"/>
      <c r="R72" s="28" t="n"/>
      <c r="S72" s="28" t="n"/>
      <c r="T72" s="29" t="n"/>
    </row>
    <row r="73" ht="35.1" customFormat="1" customHeight="1" s="5">
      <c r="A73" s="17" t="n">
        <v>71</v>
      </c>
      <c r="B73" s="17" t="inlineStr">
        <is>
          <t>KIPP10</t>
        </is>
      </c>
      <c r="C73" s="14" t="inlineStr">
        <is>
          <t>10LCA10CF101</t>
        </is>
      </c>
      <c r="D73" s="14" t="inlineStr">
        <is>
          <t>CONDENSATE EXTRACTION PUMP DISCHARGE FT</t>
        </is>
      </c>
      <c r="E73" s="84" t="n"/>
      <c r="F73" s="75" t="n">
        <v>-10197.2</v>
      </c>
      <c r="G73" s="75" t="n">
        <v>10197.2</v>
      </c>
      <c r="H73" s="39" t="n">
        <v>0</v>
      </c>
      <c r="I73" s="39" t="n">
        <v>10000</v>
      </c>
      <c r="J73" s="4" t="inlineStr">
        <is>
          <t>mmH2O</t>
        </is>
      </c>
      <c r="K73" s="19" t="inlineStr">
        <is>
          <t>YOKOGAWA</t>
        </is>
      </c>
      <c r="L73" s="19" t="inlineStr">
        <is>
          <t>EJA110E</t>
        </is>
      </c>
      <c r="M73" s="19" t="inlineStr">
        <is>
          <t>91S313066</t>
        </is>
      </c>
      <c r="N73" s="2">
        <f>IF(E73="","Waiting","Calibrated")</f>
        <v/>
      </c>
      <c r="O73" s="2" t="n">
        <v>10299531</v>
      </c>
      <c r="P73" s="2" t="inlineStr">
        <is>
          <t>ZM06</t>
        </is>
      </c>
      <c r="Q73" s="2" t="n"/>
      <c r="R73" s="28" t="n"/>
      <c r="S73" s="28" t="n"/>
      <c r="T73" s="29" t="n"/>
    </row>
    <row r="74" ht="35.1" customFormat="1" customHeight="1" s="5">
      <c r="A74" s="17" t="n">
        <v>72</v>
      </c>
      <c r="B74" s="17" t="inlineStr">
        <is>
          <t>KIPP10</t>
        </is>
      </c>
      <c r="C74" s="14" t="inlineStr">
        <is>
          <t>10LCA10CF102</t>
        </is>
      </c>
      <c r="D74" s="14" t="inlineStr">
        <is>
          <t>CONDENSATE EXTRACTION PUMP DISCHARGE FT</t>
        </is>
      </c>
      <c r="E74" s="84" t="n"/>
      <c r="F74" s="75" t="n">
        <v>-10197.2</v>
      </c>
      <c r="G74" s="75" t="n">
        <v>10197.2</v>
      </c>
      <c r="H74" s="39" t="n">
        <v>0</v>
      </c>
      <c r="I74" s="39" t="n">
        <v>10000</v>
      </c>
      <c r="J74" s="4" t="inlineStr">
        <is>
          <t>mmH2O</t>
        </is>
      </c>
      <c r="K74" s="19" t="inlineStr">
        <is>
          <t>YOKOGAWA</t>
        </is>
      </c>
      <c r="L74" s="19" t="inlineStr">
        <is>
          <t>EJA110E</t>
        </is>
      </c>
      <c r="M74" s="19" t="inlineStr">
        <is>
          <t>91S313101</t>
        </is>
      </c>
      <c r="N74" s="2">
        <f>IF(E74="","Waiting","Calibrated")</f>
        <v/>
      </c>
      <c r="O74" s="2" t="n">
        <v>10299586</v>
      </c>
      <c r="P74" s="2" t="inlineStr">
        <is>
          <t>ZM06</t>
        </is>
      </c>
      <c r="Q74" s="2" t="n"/>
      <c r="R74" s="28" t="n"/>
      <c r="S74" s="28" t="n"/>
      <c r="T74" s="29" t="n"/>
    </row>
    <row r="75" ht="35.1" customFormat="1" customHeight="1" s="5">
      <c r="A75" s="17" t="n">
        <v>73</v>
      </c>
      <c r="B75" s="17" t="inlineStr">
        <is>
          <t>KIPP10</t>
        </is>
      </c>
      <c r="C75" s="14" t="inlineStr">
        <is>
          <t>10LCA10CP101</t>
        </is>
      </c>
      <c r="D75" s="14" t="inlineStr">
        <is>
          <t>CONDENSATE EXTRACTION PUMP DISCHARGE PT</t>
        </is>
      </c>
      <c r="E75" s="84" t="n">
        <v>46105</v>
      </c>
      <c r="F75" s="75" t="n">
        <v>-1</v>
      </c>
      <c r="G75" s="75" t="n">
        <v>100</v>
      </c>
      <c r="H75" s="39" t="n">
        <v>0</v>
      </c>
      <c r="I75" s="39" t="n">
        <v>35</v>
      </c>
      <c r="J75" s="4" t="inlineStr">
        <is>
          <t>Bar</t>
        </is>
      </c>
      <c r="K75" s="19" t="inlineStr">
        <is>
          <t>YOKOGAWA</t>
        </is>
      </c>
      <c r="L75" s="19" t="inlineStr">
        <is>
          <t>EJA530E</t>
        </is>
      </c>
      <c r="M75" s="19" t="inlineStr">
        <is>
          <t>91S313297</t>
        </is>
      </c>
      <c r="N75" s="2">
        <f>IF(E75="","Waiting","Calibrated")</f>
        <v/>
      </c>
      <c r="O75" s="2" t="n">
        <v>10299593</v>
      </c>
      <c r="P75" s="2" t="inlineStr">
        <is>
          <t>ZM06</t>
        </is>
      </c>
      <c r="Q75" s="2" t="inlineStr">
        <is>
          <t>OK</t>
        </is>
      </c>
      <c r="R75" s="28" t="n"/>
      <c r="S75" s="28" t="n"/>
      <c r="T75" s="29" t="n"/>
    </row>
    <row r="76" ht="35.1" customFormat="1" customHeight="1" s="5">
      <c r="A76" s="17" t="n">
        <v>74</v>
      </c>
      <c r="B76" s="17" t="inlineStr">
        <is>
          <t>KIPP10</t>
        </is>
      </c>
      <c r="C76" s="14" t="inlineStr">
        <is>
          <t>10LCA10CP102</t>
        </is>
      </c>
      <c r="D76" s="14" t="inlineStr">
        <is>
          <t>GLAND STEAM CONDENSER OUTLET PT</t>
        </is>
      </c>
      <c r="E76" s="84" t="n">
        <v>46105</v>
      </c>
      <c r="F76" s="75" t="n">
        <v>-1</v>
      </c>
      <c r="G76" s="75" t="n">
        <v>100</v>
      </c>
      <c r="H76" s="39" t="n">
        <v>0</v>
      </c>
      <c r="I76" s="39" t="n">
        <v>35</v>
      </c>
      <c r="J76" s="4" t="inlineStr">
        <is>
          <t>Bar</t>
        </is>
      </c>
      <c r="K76" s="19" t="inlineStr">
        <is>
          <t>YOKOGAWA</t>
        </is>
      </c>
      <c r="L76" s="19" t="inlineStr">
        <is>
          <t>EJA530E</t>
        </is>
      </c>
      <c r="M76" s="19" t="inlineStr">
        <is>
          <t>91S313298</t>
        </is>
      </c>
      <c r="N76" s="2">
        <f>IF(E76="","Waiting","Calibrated")</f>
        <v/>
      </c>
      <c r="O76" s="2" t="n">
        <v>10299601</v>
      </c>
      <c r="P76" s="2" t="inlineStr">
        <is>
          <t>ZM06</t>
        </is>
      </c>
      <c r="Q76" s="2" t="inlineStr">
        <is>
          <t>OK</t>
        </is>
      </c>
      <c r="R76" s="28" t="n"/>
      <c r="S76" s="28" t="n"/>
      <c r="T76" s="29" t="n"/>
    </row>
    <row r="77" ht="35.1" customFormat="1" customHeight="1" s="5">
      <c r="A77" s="17" t="n">
        <v>75</v>
      </c>
      <c r="B77" s="17" t="inlineStr">
        <is>
          <t>KIPP10</t>
        </is>
      </c>
      <c r="C77" s="14" t="inlineStr">
        <is>
          <t>10LCA10CP103</t>
        </is>
      </c>
      <c r="D77" s="14" t="inlineStr">
        <is>
          <t>CONDENSATE EXTRACTION PUMP DISCHARGE PT</t>
        </is>
      </c>
      <c r="E77" s="84" t="n">
        <v>46105</v>
      </c>
      <c r="F77" s="75" t="n">
        <v>-1</v>
      </c>
      <c r="G77" s="75" t="n">
        <v>100</v>
      </c>
      <c r="H77" s="39" t="n">
        <v>0</v>
      </c>
      <c r="I77" s="39" t="n">
        <v>35</v>
      </c>
      <c r="J77" s="4" t="inlineStr">
        <is>
          <t>Bar</t>
        </is>
      </c>
      <c r="K77" s="19" t="inlineStr">
        <is>
          <t>YOKOGAWA</t>
        </is>
      </c>
      <c r="L77" s="19" t="inlineStr">
        <is>
          <t>EJA530E</t>
        </is>
      </c>
      <c r="M77" s="30" t="inlineStr">
        <is>
          <t>91S313310</t>
        </is>
      </c>
      <c r="N77" s="2">
        <f>IF(E77="","Waiting","Calibrated")</f>
        <v/>
      </c>
      <c r="O77" s="2" t="n">
        <v>10299602</v>
      </c>
      <c r="P77" s="2" t="inlineStr">
        <is>
          <t>ZM06</t>
        </is>
      </c>
      <c r="Q77" s="2" t="inlineStr">
        <is>
          <t>OK</t>
        </is>
      </c>
      <c r="R77" s="28" t="n"/>
      <c r="S77" s="28" t="n"/>
      <c r="T77" s="29" t="n"/>
    </row>
    <row r="78" ht="35.1" customFormat="1" customHeight="1" s="5">
      <c r="A78" s="17" t="n">
        <v>76</v>
      </c>
      <c r="B78" s="17" t="inlineStr">
        <is>
          <t>KIPP10</t>
        </is>
      </c>
      <c r="C78" s="14" t="inlineStr">
        <is>
          <t>10LCA11CP101</t>
        </is>
      </c>
      <c r="D78" s="14" t="inlineStr">
        <is>
          <t>CEP-A DISCHARGE PRESS.</t>
        </is>
      </c>
      <c r="E78" s="84" t="n"/>
      <c r="F78" s="75" t="n">
        <v>-1</v>
      </c>
      <c r="G78" s="75" t="n">
        <v>100</v>
      </c>
      <c r="H78" s="39" t="n">
        <v>0</v>
      </c>
      <c r="I78" s="39" t="n">
        <v>35</v>
      </c>
      <c r="J78" s="4" t="inlineStr">
        <is>
          <t>Bar</t>
        </is>
      </c>
      <c r="K78" s="19" t="inlineStr">
        <is>
          <t>YOKOGAWA</t>
        </is>
      </c>
      <c r="L78" s="19" t="inlineStr">
        <is>
          <t>EJA530E</t>
        </is>
      </c>
      <c r="M78" s="19" t="inlineStr">
        <is>
          <t>91S313294</t>
        </is>
      </c>
      <c r="N78" s="2">
        <f>IF(E78="","Waiting","Calibrated")</f>
        <v/>
      </c>
      <c r="O78" s="2" t="n">
        <v>10301365</v>
      </c>
      <c r="P78" s="2" t="inlineStr">
        <is>
          <t>ZM06</t>
        </is>
      </c>
      <c r="Q78" s="2" t="n"/>
      <c r="R78" s="28" t="n"/>
      <c r="S78" s="28" t="n"/>
      <c r="T78" s="29" t="n"/>
    </row>
    <row r="79" ht="35.1" customFormat="1" customHeight="1" s="5">
      <c r="A79" s="17" t="n">
        <v>77</v>
      </c>
      <c r="B79" s="17" t="inlineStr">
        <is>
          <t>KIPP10</t>
        </is>
      </c>
      <c r="C79" s="14" t="inlineStr">
        <is>
          <t>10LCA12CP101</t>
        </is>
      </c>
      <c r="D79" s="14" t="inlineStr">
        <is>
          <t>CEP-B DISCHARGE PRESS.</t>
        </is>
      </c>
      <c r="E79" s="84" t="n"/>
      <c r="F79" s="75" t="n">
        <v>-1</v>
      </c>
      <c r="G79" s="75" t="n">
        <v>100</v>
      </c>
      <c r="H79" s="39" t="n">
        <v>0</v>
      </c>
      <c r="I79" s="39" t="n">
        <v>35</v>
      </c>
      <c r="J79" s="4" t="inlineStr">
        <is>
          <t>Bar</t>
        </is>
      </c>
      <c r="K79" s="19" t="inlineStr">
        <is>
          <t>YOKOGAWA</t>
        </is>
      </c>
      <c r="L79" s="19" t="inlineStr">
        <is>
          <t>EJA530E</t>
        </is>
      </c>
      <c r="M79" s="19" t="inlineStr">
        <is>
          <t>91S313295</t>
        </is>
      </c>
      <c r="N79" s="2">
        <f>IF(E79="","Waiting","Calibrated")</f>
        <v/>
      </c>
      <c r="O79" s="2" t="n">
        <v>10301366</v>
      </c>
      <c r="P79" s="2" t="inlineStr">
        <is>
          <t>ZM06</t>
        </is>
      </c>
      <c r="Q79" s="2" t="n"/>
      <c r="R79" s="28" t="n"/>
      <c r="S79" s="28" t="n"/>
      <c r="T79" s="29" t="n"/>
    </row>
    <row r="80" ht="35.1" customFormat="1" customHeight="1" s="5">
      <c r="A80" s="17" t="n">
        <v>78</v>
      </c>
      <c r="B80" s="17" t="inlineStr">
        <is>
          <t>KIPP10</t>
        </is>
      </c>
      <c r="C80" s="14" t="inlineStr">
        <is>
          <t>10LCA13CP101</t>
        </is>
      </c>
      <c r="D80" s="14" t="inlineStr">
        <is>
          <t>CEP-C DISCHARGE PRESS.</t>
        </is>
      </c>
      <c r="E80" s="84" t="n"/>
      <c r="F80" s="75" t="n">
        <v>-1</v>
      </c>
      <c r="G80" s="75" t="n">
        <v>100</v>
      </c>
      <c r="H80" s="39" t="n">
        <v>0</v>
      </c>
      <c r="I80" s="39" t="n">
        <v>35</v>
      </c>
      <c r="J80" s="4" t="inlineStr">
        <is>
          <t>Bar</t>
        </is>
      </c>
      <c r="K80" s="19" t="inlineStr">
        <is>
          <t>YOKOGAWA</t>
        </is>
      </c>
      <c r="L80" s="19" t="inlineStr">
        <is>
          <t>EJA530E</t>
        </is>
      </c>
      <c r="M80" s="19" t="inlineStr">
        <is>
          <t>91S313296</t>
        </is>
      </c>
      <c r="N80" s="2">
        <f>IF(E80="","Waiting","Calibrated")</f>
        <v/>
      </c>
      <c r="O80" s="2" t="n">
        <v>10301367</v>
      </c>
      <c r="P80" s="2" t="inlineStr">
        <is>
          <t>ZM06</t>
        </is>
      </c>
      <c r="Q80" s="2" t="n"/>
      <c r="R80" s="28" t="n"/>
      <c r="S80" s="28" t="n"/>
      <c r="T80" s="29" t="n"/>
    </row>
    <row r="81" ht="35.1" customFormat="1" customHeight="1" s="5">
      <c r="A81" s="17" t="n">
        <v>79</v>
      </c>
      <c r="B81" s="17" t="inlineStr">
        <is>
          <t>KIPP10</t>
        </is>
      </c>
      <c r="C81" s="14" t="inlineStr">
        <is>
          <t>10LCA20CF101</t>
        </is>
      </c>
      <c r="D81" s="14" t="inlineStr">
        <is>
          <t>DEAERATOR &amp; FW STORAGE TANK INLET FT</t>
        </is>
      </c>
      <c r="E81" s="84" t="n"/>
      <c r="F81" s="75" t="n">
        <v>-10197.2</v>
      </c>
      <c r="G81" s="75" t="n">
        <v>10197.2</v>
      </c>
      <c r="H81" s="39" t="n">
        <v>0</v>
      </c>
      <c r="I81" s="39" t="n">
        <v>10000</v>
      </c>
      <c r="J81" s="4" t="inlineStr">
        <is>
          <t>mmH2O</t>
        </is>
      </c>
      <c r="K81" s="19" t="inlineStr">
        <is>
          <t>YOKOGAWA</t>
        </is>
      </c>
      <c r="L81" s="19" t="inlineStr">
        <is>
          <t>EJA110E</t>
        </is>
      </c>
      <c r="M81" s="19" t="inlineStr">
        <is>
          <t>91S313069</t>
        </is>
      </c>
      <c r="N81" s="2">
        <f>IF(E81="","Waiting","Calibrated")</f>
        <v/>
      </c>
      <c r="O81" s="2" t="n">
        <v>10301423</v>
      </c>
      <c r="P81" s="2" t="inlineStr">
        <is>
          <t>ZM06</t>
        </is>
      </c>
      <c r="Q81" s="2" t="inlineStr">
        <is>
          <t>OK</t>
        </is>
      </c>
      <c r="R81" s="28" t="n"/>
      <c r="S81" s="28" t="n"/>
      <c r="T81" s="29" t="n"/>
    </row>
    <row r="82" ht="35.1" customFormat="1" customHeight="1" s="5">
      <c r="A82" s="17" t="n">
        <v>80</v>
      </c>
      <c r="B82" s="17" t="inlineStr">
        <is>
          <t>KIPP10</t>
        </is>
      </c>
      <c r="C82" s="14" t="inlineStr">
        <is>
          <t>10MAA10CP001</t>
        </is>
      </c>
      <c r="D82" s="14" t="inlineStr">
        <is>
          <t>P UPSTR HPT BLADING</t>
        </is>
      </c>
      <c r="E82" s="84" t="n"/>
      <c r="F82" s="75" t="n">
        <v>-1.013</v>
      </c>
      <c r="G82" s="75" t="n">
        <v>275.789</v>
      </c>
      <c r="H82" s="39" t="n">
        <v>-1</v>
      </c>
      <c r="I82" s="39" t="n">
        <v>150</v>
      </c>
      <c r="J82" s="4" t="inlineStr">
        <is>
          <t>Bar</t>
        </is>
      </c>
      <c r="K82" s="19" t="inlineStr">
        <is>
          <t>ROSEMOUNT</t>
        </is>
      </c>
      <c r="L82" s="19" t="inlineStr">
        <is>
          <t>3051 PT</t>
        </is>
      </c>
      <c r="M82" s="20" t="n">
        <v>9834864</v>
      </c>
      <c r="N82" s="2">
        <f>IF(E82="","Waiting","Calibrated")</f>
        <v/>
      </c>
      <c r="O82" s="2" t="n">
        <v>10301424</v>
      </c>
      <c r="P82" s="2" t="inlineStr">
        <is>
          <t>ZM06</t>
        </is>
      </c>
      <c r="Q82" s="2" t="inlineStr">
        <is>
          <t>OK</t>
        </is>
      </c>
      <c r="R82" s="28" t="n"/>
      <c r="S82" s="28" t="n"/>
      <c r="T82" s="29" t="n"/>
    </row>
    <row r="83" ht="35.1" customFormat="1" customHeight="1" s="5">
      <c r="A83" s="17" t="n">
        <v>81</v>
      </c>
      <c r="B83" s="17" t="inlineStr">
        <is>
          <t>KIPP10</t>
        </is>
      </c>
      <c r="C83" s="14" t="inlineStr">
        <is>
          <t>10MAA10CT031A</t>
        </is>
      </c>
      <c r="D83" s="14" t="inlineStr">
        <is>
          <t>HP TURBINE EXHAUST THERMOCOUPLE</t>
        </is>
      </c>
      <c r="E83" s="84" t="n"/>
      <c r="F83" s="75" t="inlineStr">
        <is>
          <t>-</t>
        </is>
      </c>
      <c r="G83" s="75" t="inlineStr">
        <is>
          <t>-</t>
        </is>
      </c>
      <c r="H83" s="39" t="inlineStr">
        <is>
          <t>-</t>
        </is>
      </c>
      <c r="I83" s="39" t="inlineStr">
        <is>
          <t>-</t>
        </is>
      </c>
      <c r="J83" s="4" t="inlineStr">
        <is>
          <t>ᵒC</t>
        </is>
      </c>
      <c r="K83" s="19" t="inlineStr">
        <is>
          <t>-</t>
        </is>
      </c>
      <c r="L83" s="19" t="inlineStr">
        <is>
          <t>-</t>
        </is>
      </c>
      <c r="M83" s="19" t="inlineStr">
        <is>
          <t>-</t>
        </is>
      </c>
      <c r="N83" s="2">
        <f>IF(E83="","Waiting","Calibrated")</f>
        <v/>
      </c>
      <c r="O83" s="2" t="n">
        <v>10301425</v>
      </c>
      <c r="P83" s="2" t="inlineStr">
        <is>
          <t>ZM06</t>
        </is>
      </c>
      <c r="Q83" s="2" t="inlineStr">
        <is>
          <t>OK</t>
        </is>
      </c>
      <c r="R83" s="28" t="n"/>
      <c r="S83" s="28" t="n"/>
      <c r="T83" s="29" t="n"/>
    </row>
    <row r="84" ht="35.1" customFormat="1" customHeight="1" s="5">
      <c r="A84" s="17" t="n">
        <v>82</v>
      </c>
      <c r="B84" s="17" t="inlineStr">
        <is>
          <t>KIPP10</t>
        </is>
      </c>
      <c r="C84" s="14" t="inlineStr">
        <is>
          <t>10MAA10CT031B</t>
        </is>
      </c>
      <c r="D84" s="14" t="inlineStr">
        <is>
          <t>HP TURBINE EXHAUST THERMOCOUPLE</t>
        </is>
      </c>
      <c r="E84" s="84" t="n"/>
      <c r="F84" s="75" t="inlineStr">
        <is>
          <t>-</t>
        </is>
      </c>
      <c r="G84" s="75" t="inlineStr">
        <is>
          <t>-</t>
        </is>
      </c>
      <c r="H84" s="39" t="inlineStr">
        <is>
          <t>-</t>
        </is>
      </c>
      <c r="I84" s="39" t="inlineStr">
        <is>
          <t>-</t>
        </is>
      </c>
      <c r="J84" s="4" t="inlineStr">
        <is>
          <t>ᵒC</t>
        </is>
      </c>
      <c r="K84" s="19" t="inlineStr">
        <is>
          <t>-</t>
        </is>
      </c>
      <c r="L84" s="19" t="inlineStr">
        <is>
          <t>-</t>
        </is>
      </c>
      <c r="M84" s="19" t="inlineStr">
        <is>
          <t>-</t>
        </is>
      </c>
      <c r="N84" s="2">
        <f>IF(E84="","Waiting","Calibrated")</f>
        <v/>
      </c>
      <c r="O84" s="2" t="n">
        <v>10301507</v>
      </c>
      <c r="P84" s="2" t="inlineStr">
        <is>
          <t>ZM06</t>
        </is>
      </c>
      <c r="Q84" s="2" t="inlineStr">
        <is>
          <t>OK</t>
        </is>
      </c>
      <c r="R84" s="28" t="n"/>
      <c r="S84" s="28" t="n"/>
      <c r="T84" s="29" t="n"/>
    </row>
    <row r="85" ht="35.1" customFormat="1" customHeight="1" s="5">
      <c r="A85" s="17" t="n">
        <v>83</v>
      </c>
      <c r="B85" s="17" t="inlineStr">
        <is>
          <t>KIPP10</t>
        </is>
      </c>
      <c r="C85" s="14" t="inlineStr">
        <is>
          <t>10MAB10CP001</t>
        </is>
      </c>
      <c r="D85" s="14" t="inlineStr">
        <is>
          <t>P UPSTR IPT BLADING</t>
        </is>
      </c>
      <c r="E85" s="84" t="n"/>
      <c r="F85" s="75" t="n">
        <v>-137.89</v>
      </c>
      <c r="G85" s="75" t="n">
        <v>137.89</v>
      </c>
      <c r="H85" s="39" t="n">
        <v>-1</v>
      </c>
      <c r="I85" s="39" t="n">
        <v>40</v>
      </c>
      <c r="J85" s="4" t="inlineStr">
        <is>
          <t>Bar</t>
        </is>
      </c>
      <c r="K85" s="19" t="inlineStr">
        <is>
          <t>ROSEMOUNT</t>
        </is>
      </c>
      <c r="L85" s="19" t="inlineStr">
        <is>
          <t>3051 PT</t>
        </is>
      </c>
      <c r="M85" s="20" t="n">
        <v>9834862</v>
      </c>
      <c r="N85" s="2">
        <f>IF(E85="","Waiting","Calibrated")</f>
        <v/>
      </c>
      <c r="O85" s="2" t="n">
        <v>10301508</v>
      </c>
      <c r="P85" s="2" t="inlineStr">
        <is>
          <t>ZM06</t>
        </is>
      </c>
      <c r="Q85" s="2" t="inlineStr">
        <is>
          <t>OK</t>
        </is>
      </c>
      <c r="R85" s="28" t="n"/>
      <c r="S85" s="28" t="n"/>
      <c r="T85" s="29" t="n"/>
    </row>
    <row r="86" ht="35.1" customFormat="1" customHeight="1" s="5">
      <c r="A86" s="17" t="n">
        <v>84</v>
      </c>
      <c r="B86" s="17" t="inlineStr">
        <is>
          <t>KIPP10</t>
        </is>
      </c>
      <c r="C86" s="14" t="inlineStr">
        <is>
          <t>10MAB10CP002</t>
        </is>
      </c>
      <c r="D86" s="14" t="inlineStr">
        <is>
          <t>P UPSTR IPT BLADING</t>
        </is>
      </c>
      <c r="E86" s="84" t="n"/>
      <c r="F86" s="75" t="n">
        <v>-137.89</v>
      </c>
      <c r="G86" s="75" t="n">
        <v>137.89</v>
      </c>
      <c r="H86" s="39" t="n">
        <v>-1</v>
      </c>
      <c r="I86" s="39" t="n">
        <v>40</v>
      </c>
      <c r="J86" s="4" t="inlineStr">
        <is>
          <t>Bar</t>
        </is>
      </c>
      <c r="K86" s="19" t="inlineStr">
        <is>
          <t>ROSEMOUNT</t>
        </is>
      </c>
      <c r="L86" s="19" t="inlineStr">
        <is>
          <t>3051 PT</t>
        </is>
      </c>
      <c r="M86" s="20" t="n">
        <v>9834863</v>
      </c>
      <c r="N86" s="2">
        <f>IF(E86="","Waiting","Calibrated")</f>
        <v/>
      </c>
      <c r="O86" s="2" t="n">
        <v>10301509</v>
      </c>
      <c r="P86" s="2" t="inlineStr">
        <is>
          <t>ZM06</t>
        </is>
      </c>
      <c r="Q86" s="2" t="inlineStr">
        <is>
          <t>OK</t>
        </is>
      </c>
      <c r="R86" s="28" t="n"/>
      <c r="S86" s="28" t="n"/>
      <c r="T86" s="29" t="n"/>
    </row>
    <row r="87" ht="35.1" customFormat="1" customHeight="1" s="5">
      <c r="A87" s="17" t="n">
        <v>85</v>
      </c>
      <c r="B87" s="17" t="inlineStr">
        <is>
          <t>KIPP10</t>
        </is>
      </c>
      <c r="C87" s="14" t="inlineStr">
        <is>
          <t>10MAC01CP021</t>
        </is>
      </c>
      <c r="D87" s="14" t="inlineStr">
        <is>
          <t>LP TUR.UPER STR.CROSS PIPE PRESSURE</t>
        </is>
      </c>
      <c r="E87" s="84" t="n"/>
      <c r="F87" s="75" t="n">
        <v>-20.684</v>
      </c>
      <c r="G87" s="75" t="n">
        <v>20.684</v>
      </c>
      <c r="H87" s="39" t="n">
        <v>-1</v>
      </c>
      <c r="I87" s="39" t="n">
        <v>8</v>
      </c>
      <c r="J87" s="4" t="inlineStr">
        <is>
          <t>Bar</t>
        </is>
      </c>
      <c r="K87" s="19" t="inlineStr">
        <is>
          <t>ROSEMOUNT</t>
        </is>
      </c>
      <c r="L87" s="19" t="inlineStr">
        <is>
          <t>3051 PT</t>
        </is>
      </c>
      <c r="M87" s="20" t="n">
        <v>9834860</v>
      </c>
      <c r="N87" s="2">
        <f>IF(E87="","Waiting","Calibrated")</f>
        <v/>
      </c>
      <c r="O87" s="2" t="n">
        <v>10301647</v>
      </c>
      <c r="P87" s="2" t="inlineStr">
        <is>
          <t>ZM06</t>
        </is>
      </c>
      <c r="Q87" s="2" t="inlineStr">
        <is>
          <t>OK</t>
        </is>
      </c>
      <c r="R87" s="28" t="n"/>
      <c r="S87" s="28" t="n"/>
      <c r="T87" s="29" t="n"/>
    </row>
    <row r="88" ht="35.1" customFormat="1" customHeight="1" s="5">
      <c r="A88" s="17" t="n">
        <v>86</v>
      </c>
      <c r="B88" s="17" t="inlineStr">
        <is>
          <t>KIPP10</t>
        </is>
      </c>
      <c r="C88" s="14" t="inlineStr">
        <is>
          <t>10MAC01CP022</t>
        </is>
      </c>
      <c r="D88" s="14" t="inlineStr">
        <is>
          <t>LP TUR.UPER STR.CROSS PIPE PRESSURE</t>
        </is>
      </c>
      <c r="E88" s="84" t="n"/>
      <c r="F88" s="75" t="n">
        <v>-20.684</v>
      </c>
      <c r="G88" s="75" t="n">
        <v>20.684</v>
      </c>
      <c r="H88" s="39" t="n">
        <v>-1</v>
      </c>
      <c r="I88" s="39" t="n">
        <v>8</v>
      </c>
      <c r="J88" s="4" t="inlineStr">
        <is>
          <t>Bar</t>
        </is>
      </c>
      <c r="K88" s="19" t="inlineStr">
        <is>
          <t>ROSEMOUNT</t>
        </is>
      </c>
      <c r="L88" s="19" t="inlineStr">
        <is>
          <t>3051 PT</t>
        </is>
      </c>
      <c r="M88" s="20" t="n">
        <v>9834861</v>
      </c>
      <c r="N88" s="2">
        <f>IF(E88="","Waiting","Calibrated")</f>
        <v/>
      </c>
      <c r="O88" s="2" t="n">
        <v>10301724</v>
      </c>
      <c r="P88" s="2" t="inlineStr">
        <is>
          <t>ZM06</t>
        </is>
      </c>
      <c r="Q88" s="2" t="inlineStr">
        <is>
          <t>OK</t>
        </is>
      </c>
      <c r="R88" s="28" t="n"/>
      <c r="S88" s="28" t="n"/>
      <c r="T88" s="29" t="n"/>
    </row>
    <row r="89" ht="35.1" customFormat="1" customHeight="1" s="5">
      <c r="A89" s="17" t="n">
        <v>87</v>
      </c>
      <c r="B89" s="17" t="inlineStr">
        <is>
          <t>KIPP10</t>
        </is>
      </c>
      <c r="C89" s="14" t="inlineStr">
        <is>
          <t>10MAC10CP031</t>
        </is>
      </c>
      <c r="D89" s="14" t="inlineStr">
        <is>
          <t>LP TURBINE EXHAUST PRESSURE</t>
        </is>
      </c>
      <c r="E89" s="84" t="n"/>
      <c r="F89" s="75" t="n">
        <v>0</v>
      </c>
      <c r="G89" s="75" t="n">
        <v>2068.4</v>
      </c>
      <c r="H89" s="39" t="n">
        <v>0</v>
      </c>
      <c r="I89" s="39" t="n">
        <v>1200</v>
      </c>
      <c r="J89" s="4" t="inlineStr">
        <is>
          <t>mBar</t>
        </is>
      </c>
      <c r="K89" s="19" t="inlineStr">
        <is>
          <t>ROSEMOUNT</t>
        </is>
      </c>
      <c r="L89" s="19" t="inlineStr">
        <is>
          <t>3051 PT</t>
        </is>
      </c>
      <c r="M89" s="20" t="n">
        <v>9861934</v>
      </c>
      <c r="N89" s="2">
        <f>IF(E89="","Waiting","Calibrated")</f>
        <v/>
      </c>
      <c r="O89" s="2" t="n">
        <v>10306306</v>
      </c>
      <c r="P89" s="2" t="inlineStr">
        <is>
          <t>ZM06</t>
        </is>
      </c>
      <c r="Q89" s="2" t="inlineStr">
        <is>
          <t>OK</t>
        </is>
      </c>
      <c r="R89" s="28" t="n"/>
      <c r="S89" s="28" t="n"/>
      <c r="T89" s="29" t="n"/>
    </row>
    <row r="90" ht="35.1" customFormat="1" customHeight="1" s="5">
      <c r="A90" s="17" t="n">
        <v>88</v>
      </c>
      <c r="B90" s="17" t="inlineStr">
        <is>
          <t>KIPP10</t>
        </is>
      </c>
      <c r="C90" s="14" t="inlineStr">
        <is>
          <t>10MAC10CP032</t>
        </is>
      </c>
      <c r="D90" s="14" t="inlineStr">
        <is>
          <t>LP TURBINE EXHAUST PRESSURE</t>
        </is>
      </c>
      <c r="E90" s="84" t="n"/>
      <c r="F90" s="75" t="n">
        <v>0</v>
      </c>
      <c r="G90" s="75" t="n">
        <v>2068.4</v>
      </c>
      <c r="H90" s="39" t="n">
        <v>0</v>
      </c>
      <c r="I90" s="39" t="n">
        <v>1200</v>
      </c>
      <c r="J90" s="4" t="inlineStr">
        <is>
          <t>mBar</t>
        </is>
      </c>
      <c r="K90" s="19" t="inlineStr">
        <is>
          <t>ROSEMOUNT</t>
        </is>
      </c>
      <c r="L90" s="19" t="inlineStr">
        <is>
          <t>3051 PT</t>
        </is>
      </c>
      <c r="M90" s="20" t="n">
        <v>9861935</v>
      </c>
      <c r="N90" s="2">
        <f>IF(E90="","Waiting","Calibrated")</f>
        <v/>
      </c>
      <c r="O90" s="2" t="n">
        <v>10301849</v>
      </c>
      <c r="P90" s="2" t="inlineStr">
        <is>
          <t>ZM06</t>
        </is>
      </c>
      <c r="Q90" s="2" t="inlineStr">
        <is>
          <t>OK</t>
        </is>
      </c>
      <c r="R90" s="28" t="n"/>
      <c r="S90" s="28" t="n"/>
      <c r="T90" s="29" t="n"/>
    </row>
    <row r="91" ht="35.1" customFormat="1" customHeight="1" s="5">
      <c r="A91" s="17" t="n">
        <v>89</v>
      </c>
      <c r="B91" s="17" t="inlineStr">
        <is>
          <t>KIPP10</t>
        </is>
      </c>
      <c r="C91" s="14" t="inlineStr">
        <is>
          <t>10MAC10CP033</t>
        </is>
      </c>
      <c r="D91" s="14" t="inlineStr">
        <is>
          <t>LP TURBINE EXHAUST PRESSURE</t>
        </is>
      </c>
      <c r="E91" s="84" t="n"/>
      <c r="F91" s="75" t="n">
        <v>0</v>
      </c>
      <c r="G91" s="75" t="n">
        <v>2068.4</v>
      </c>
      <c r="H91" s="39" t="n">
        <v>0</v>
      </c>
      <c r="I91" s="39" t="n">
        <v>1200</v>
      </c>
      <c r="J91" s="4" t="inlineStr">
        <is>
          <t>mBar</t>
        </is>
      </c>
      <c r="K91" s="19" t="inlineStr">
        <is>
          <t>ROSEMOUNT</t>
        </is>
      </c>
      <c r="L91" s="19" t="inlineStr">
        <is>
          <t>3051 PT</t>
        </is>
      </c>
      <c r="M91" s="20" t="n">
        <v>9861936</v>
      </c>
      <c r="N91" s="2">
        <f>IF(E91="","Waiting","Calibrated")</f>
        <v/>
      </c>
      <c r="O91" s="2" t="n">
        <v>10301856</v>
      </c>
      <c r="P91" s="2" t="inlineStr">
        <is>
          <t>ZM06</t>
        </is>
      </c>
      <c r="Q91" s="2" t="inlineStr">
        <is>
          <t>OK</t>
        </is>
      </c>
      <c r="R91" s="28" t="n"/>
      <c r="S91" s="28" t="n"/>
      <c r="T91" s="29" t="n"/>
    </row>
    <row r="92" ht="35.1" customFormat="1" customHeight="1" s="5">
      <c r="A92" s="17" t="n">
        <v>90</v>
      </c>
      <c r="B92" s="17" t="inlineStr">
        <is>
          <t>KIPP10</t>
        </is>
      </c>
      <c r="C92" s="14" t="inlineStr">
        <is>
          <t>10MAV40CP003</t>
        </is>
      </c>
      <c r="D92" s="14" t="inlineStr">
        <is>
          <t>P LOIL HEADER</t>
        </is>
      </c>
      <c r="E92" s="84" t="n"/>
      <c r="F92" s="75" t="n">
        <v>-1.0132</v>
      </c>
      <c r="G92" s="75" t="n">
        <v>10.3421</v>
      </c>
      <c r="H92" s="39" t="n">
        <v>0</v>
      </c>
      <c r="I92" s="39" t="n">
        <v>6</v>
      </c>
      <c r="J92" s="4" t="inlineStr">
        <is>
          <t>Bar</t>
        </is>
      </c>
      <c r="K92" s="19" t="inlineStr">
        <is>
          <t>ROSEMOUNT</t>
        </is>
      </c>
      <c r="L92" s="19" t="inlineStr">
        <is>
          <t>3051 PT</t>
        </is>
      </c>
      <c r="M92" s="20" t="n">
        <v>9843509</v>
      </c>
      <c r="N92" s="2">
        <f>IF(E92="","Waiting","Calibrated")</f>
        <v/>
      </c>
      <c r="O92" s="2" t="n">
        <v>10301857</v>
      </c>
      <c r="P92" s="2" t="inlineStr">
        <is>
          <t>ZM06</t>
        </is>
      </c>
      <c r="Q92" s="2" t="inlineStr">
        <is>
          <t>OK</t>
        </is>
      </c>
      <c r="R92" s="28" t="n"/>
      <c r="S92" s="28" t="n"/>
      <c r="T92" s="29" t="n"/>
    </row>
    <row r="93" ht="35.1" customFormat="1" customHeight="1" s="5">
      <c r="A93" s="17" t="n">
        <v>91</v>
      </c>
      <c r="B93" s="17" t="inlineStr">
        <is>
          <t>KIPP10</t>
        </is>
      </c>
      <c r="C93" s="14" t="inlineStr">
        <is>
          <t>10MAV40CP004</t>
        </is>
      </c>
      <c r="D93" s="14" t="inlineStr">
        <is>
          <t>P LOIL HEADER</t>
        </is>
      </c>
      <c r="E93" s="84" t="n"/>
      <c r="F93" s="75" t="n">
        <v>-1.0132</v>
      </c>
      <c r="G93" s="75" t="n">
        <v>10.3421</v>
      </c>
      <c r="H93" s="39" t="n">
        <v>0</v>
      </c>
      <c r="I93" s="39" t="n">
        <v>6</v>
      </c>
      <c r="J93" s="4" t="inlineStr">
        <is>
          <t>Bar</t>
        </is>
      </c>
      <c r="K93" s="19" t="inlineStr">
        <is>
          <t>ROSEMOUNT</t>
        </is>
      </c>
      <c r="L93" s="19" t="inlineStr">
        <is>
          <t>3051 PT</t>
        </is>
      </c>
      <c r="M93" s="20" t="n">
        <v>9843508</v>
      </c>
      <c r="N93" s="2">
        <f>IF(E93="","Waiting","Calibrated")</f>
        <v/>
      </c>
      <c r="O93" s="2" t="n">
        <v>10301880</v>
      </c>
      <c r="P93" s="2" t="inlineStr">
        <is>
          <t>ZM06</t>
        </is>
      </c>
      <c r="Q93" s="2" t="inlineStr">
        <is>
          <t>OK</t>
        </is>
      </c>
      <c r="R93" s="28" t="n"/>
      <c r="S93" s="28" t="n"/>
      <c r="T93" s="29" t="n"/>
    </row>
    <row r="94" ht="35.1" customFormat="1" customHeight="1" s="5">
      <c r="A94" s="17" t="n">
        <v>92</v>
      </c>
      <c r="B94" s="17" t="inlineStr">
        <is>
          <t>KIPP10</t>
        </is>
      </c>
      <c r="C94" s="14" t="inlineStr">
        <is>
          <t>10MAV40CP005</t>
        </is>
      </c>
      <c r="D94" s="14" t="inlineStr">
        <is>
          <t>P LOIL HEADER</t>
        </is>
      </c>
      <c r="E94" s="84" t="n"/>
      <c r="F94" s="75" t="n">
        <v>-1.0132</v>
      </c>
      <c r="G94" s="75" t="n">
        <v>10.3421</v>
      </c>
      <c r="H94" s="39" t="n">
        <v>0</v>
      </c>
      <c r="I94" s="39" t="n">
        <v>6</v>
      </c>
      <c r="J94" s="4" t="inlineStr">
        <is>
          <t>Bar</t>
        </is>
      </c>
      <c r="K94" s="19" t="inlineStr">
        <is>
          <t>ROSEMOUNT</t>
        </is>
      </c>
      <c r="L94" s="19" t="inlineStr">
        <is>
          <t>3051 PT</t>
        </is>
      </c>
      <c r="M94" s="20" t="n">
        <v>9843510</v>
      </c>
      <c r="N94" s="2">
        <f>IF(E94="","Waiting","Calibrated")</f>
        <v/>
      </c>
      <c r="O94" s="2" t="n">
        <v>10301911</v>
      </c>
      <c r="P94" s="2" t="inlineStr">
        <is>
          <t>ZM06</t>
        </is>
      </c>
      <c r="Q94" s="2" t="inlineStr">
        <is>
          <t>OK</t>
        </is>
      </c>
      <c r="R94" s="28" t="n"/>
      <c r="S94" s="28" t="n"/>
      <c r="T94" s="29" t="n"/>
    </row>
    <row r="95" ht="35.1" customFormat="1" customHeight="1" s="5">
      <c r="A95" s="17" t="n">
        <v>93</v>
      </c>
      <c r="B95" s="17" t="inlineStr">
        <is>
          <t>KIPP10</t>
        </is>
      </c>
      <c r="C95" s="14" t="inlineStr">
        <is>
          <t>10MAW02CP001</t>
        </is>
      </c>
      <c r="D95" s="14" t="inlineStr">
        <is>
          <t>GLAND STEAM LINE PT</t>
        </is>
      </c>
      <c r="E95" s="84" t="n"/>
      <c r="F95" s="75" t="n">
        <v>-1</v>
      </c>
      <c r="G95" s="75" t="n">
        <v>100</v>
      </c>
      <c r="H95" s="39" t="n">
        <v>-1</v>
      </c>
      <c r="I95" s="39" t="n">
        <v>50</v>
      </c>
      <c r="J95" s="4" t="inlineStr">
        <is>
          <t>Bar</t>
        </is>
      </c>
      <c r="K95" s="19" t="inlineStr">
        <is>
          <t>YOKOGAWA</t>
        </is>
      </c>
      <c r="L95" s="19" t="inlineStr">
        <is>
          <t>EJA530E</t>
        </is>
      </c>
      <c r="M95" s="19" t="inlineStr">
        <is>
          <t>91S313309</t>
        </is>
      </c>
      <c r="N95" s="2">
        <f>IF(E95="","Waiting","Calibrated")</f>
        <v/>
      </c>
      <c r="O95" s="2" t="n">
        <v>10301917</v>
      </c>
      <c r="P95" s="2" t="inlineStr">
        <is>
          <t>ZM06</t>
        </is>
      </c>
      <c r="Q95" s="2" t="inlineStr">
        <is>
          <t>OK</t>
        </is>
      </c>
      <c r="R95" s="28" t="n"/>
      <c r="S95" s="28" t="n"/>
      <c r="T95" s="29" t="n"/>
    </row>
    <row r="96" ht="35.1" customFormat="1" customHeight="1" s="5">
      <c r="A96" s="17" t="n">
        <v>94</v>
      </c>
      <c r="B96" s="17" t="inlineStr">
        <is>
          <t>KIPP10</t>
        </is>
      </c>
      <c r="C96" s="14" t="inlineStr">
        <is>
          <t>10MAW10CT001</t>
        </is>
      </c>
      <c r="D96" s="14" t="inlineStr">
        <is>
          <t>GLAND STEAM SEALING SYSTEM</t>
        </is>
      </c>
      <c r="E96" s="84" t="n"/>
      <c r="F96" s="75" t="inlineStr">
        <is>
          <t>-</t>
        </is>
      </c>
      <c r="G96" s="75" t="inlineStr">
        <is>
          <t>-</t>
        </is>
      </c>
      <c r="H96" s="39" t="inlineStr">
        <is>
          <t>-</t>
        </is>
      </c>
      <c r="I96" s="39" t="inlineStr">
        <is>
          <t>-</t>
        </is>
      </c>
      <c r="J96" s="4" t="inlineStr">
        <is>
          <t>ᵒC</t>
        </is>
      </c>
      <c r="K96" s="19" t="inlineStr">
        <is>
          <t>-</t>
        </is>
      </c>
      <c r="L96" s="19" t="inlineStr">
        <is>
          <t>-</t>
        </is>
      </c>
      <c r="M96" s="19" t="inlineStr">
        <is>
          <t>-</t>
        </is>
      </c>
      <c r="N96" s="2">
        <f>IF(E96="","Waiting","Calibrated")</f>
        <v/>
      </c>
      <c r="O96" s="2" t="n">
        <v>10301918</v>
      </c>
      <c r="P96" s="2" t="inlineStr">
        <is>
          <t>ZM06</t>
        </is>
      </c>
      <c r="Q96" s="2" t="inlineStr">
        <is>
          <t>OK</t>
        </is>
      </c>
      <c r="R96" s="28" t="n"/>
      <c r="S96" s="28" t="n"/>
      <c r="T96" s="29" t="n"/>
    </row>
    <row r="97" ht="35.1" customFormat="1" customHeight="1" s="5">
      <c r="A97" s="17" t="n">
        <v>95</v>
      </c>
      <c r="B97" s="17" t="inlineStr">
        <is>
          <t>KIPP10</t>
        </is>
      </c>
      <c r="C97" s="14" t="inlineStr">
        <is>
          <t>10MAW10CT002</t>
        </is>
      </c>
      <c r="D97" s="14" t="inlineStr">
        <is>
          <t>GLAND STEAM SEALING SYSTEM</t>
        </is>
      </c>
      <c r="E97" s="84" t="n"/>
      <c r="F97" s="75" t="inlineStr">
        <is>
          <t>-</t>
        </is>
      </c>
      <c r="G97" s="75" t="inlineStr">
        <is>
          <t>-</t>
        </is>
      </c>
      <c r="H97" s="39" t="inlineStr">
        <is>
          <t>-</t>
        </is>
      </c>
      <c r="I97" s="39" t="inlineStr">
        <is>
          <t>-</t>
        </is>
      </c>
      <c r="J97" s="4" t="inlineStr">
        <is>
          <t>ᵒC</t>
        </is>
      </c>
      <c r="K97" s="19" t="inlineStr">
        <is>
          <t>-</t>
        </is>
      </c>
      <c r="L97" s="19" t="inlineStr">
        <is>
          <t>-</t>
        </is>
      </c>
      <c r="M97" s="19" t="inlineStr">
        <is>
          <t>-</t>
        </is>
      </c>
      <c r="N97" s="2">
        <f>IF(E97="","Waiting","Calibrated")</f>
        <v/>
      </c>
      <c r="O97" s="2" t="n">
        <v>10301950</v>
      </c>
      <c r="P97" s="2" t="inlineStr">
        <is>
          <t>ZM06</t>
        </is>
      </c>
      <c r="Q97" s="2" t="inlineStr">
        <is>
          <t>OK</t>
        </is>
      </c>
      <c r="R97" s="28" t="n"/>
      <c r="S97" s="28" t="n"/>
      <c r="T97" s="29" t="n"/>
    </row>
    <row r="98" ht="35.1" customFormat="1" customHeight="1" s="5">
      <c r="A98" s="17" t="n">
        <v>96</v>
      </c>
      <c r="B98" s="17" t="inlineStr">
        <is>
          <t>KIPP10</t>
        </is>
      </c>
      <c r="C98" s="14" t="inlineStr">
        <is>
          <t>10MAW15CP001</t>
        </is>
      </c>
      <c r="D98" s="14" t="inlineStr">
        <is>
          <t>GLAND STEAM SEALING SYSTEM PRESSURE</t>
        </is>
      </c>
      <c r="E98" s="84" t="n"/>
      <c r="F98" s="75" t="n">
        <v>-2486.4</v>
      </c>
      <c r="G98" s="75" t="n">
        <v>2486.4</v>
      </c>
      <c r="H98" s="39" t="n">
        <v>-150</v>
      </c>
      <c r="I98" s="39" t="n">
        <v>350</v>
      </c>
      <c r="J98" s="4" t="inlineStr">
        <is>
          <t>mBar</t>
        </is>
      </c>
      <c r="K98" s="19" t="inlineStr">
        <is>
          <t>ROSEMOUNT</t>
        </is>
      </c>
      <c r="L98" s="19" t="inlineStr">
        <is>
          <t>3051 PT</t>
        </is>
      </c>
      <c r="M98" s="20" t="n">
        <v>9834859</v>
      </c>
      <c r="N98" s="2">
        <f>IF(E98="","Waiting","Calibrated")</f>
        <v/>
      </c>
      <c r="O98" s="2" t="n">
        <v>10301985</v>
      </c>
      <c r="P98" s="2" t="inlineStr">
        <is>
          <t>ZM06</t>
        </is>
      </c>
      <c r="Q98" s="2" t="inlineStr">
        <is>
          <t>OK</t>
        </is>
      </c>
      <c r="R98" s="28" t="n"/>
      <c r="S98" s="28" t="n"/>
      <c r="T98" s="29" t="n"/>
    </row>
    <row r="99" ht="35.1" customFormat="1" customHeight="1" s="5">
      <c r="A99" s="17" t="n">
        <v>97</v>
      </c>
      <c r="B99" s="17" t="inlineStr">
        <is>
          <t>KIPP10</t>
        </is>
      </c>
      <c r="C99" s="14" t="inlineStr">
        <is>
          <t>10MAX11CP031</t>
        </is>
      </c>
      <c r="D99" s="14" t="inlineStr">
        <is>
          <t>P HYDR HEADER</t>
        </is>
      </c>
      <c r="E99" s="84" t="n"/>
      <c r="F99" s="75" t="n">
        <v>-1.013</v>
      </c>
      <c r="G99" s="75" t="n">
        <v>275.789</v>
      </c>
      <c r="H99" s="39" t="n">
        <v>0</v>
      </c>
      <c r="I99" s="39" t="n">
        <v>52</v>
      </c>
      <c r="J99" s="4" t="inlineStr">
        <is>
          <t>Bar</t>
        </is>
      </c>
      <c r="K99" s="19" t="inlineStr">
        <is>
          <t>ROSEMOUNT</t>
        </is>
      </c>
      <c r="L99" s="19" t="inlineStr">
        <is>
          <t>3051 PT</t>
        </is>
      </c>
      <c r="M99" s="20" t="n">
        <v>9843512</v>
      </c>
      <c r="N99" s="2">
        <f>IF(E99="","Waiting","Calibrated")</f>
        <v/>
      </c>
      <c r="O99" s="2" t="n">
        <v>10301995</v>
      </c>
      <c r="P99" s="2" t="inlineStr">
        <is>
          <t>ZM06</t>
        </is>
      </c>
      <c r="Q99" s="2" t="inlineStr">
        <is>
          <t>OK</t>
        </is>
      </c>
      <c r="R99" s="28" t="n"/>
      <c r="S99" s="28" t="n"/>
      <c r="T99" s="29" t="n"/>
    </row>
    <row r="100" ht="35.1" customFormat="1" customHeight="1" s="5">
      <c r="A100" s="17" t="n">
        <v>98</v>
      </c>
      <c r="B100" s="17" t="inlineStr">
        <is>
          <t>KIPP10</t>
        </is>
      </c>
      <c r="C100" s="14" t="inlineStr">
        <is>
          <t>10MAX44CP001</t>
        </is>
      </c>
      <c r="D100" s="14" t="inlineStr">
        <is>
          <t>P SAFETY SYSTEM</t>
        </is>
      </c>
      <c r="E100" s="84" t="n"/>
      <c r="F100" s="75" t="n">
        <v>-1.013</v>
      </c>
      <c r="G100" s="75" t="n">
        <v>275.789</v>
      </c>
      <c r="H100" s="39" t="n">
        <v>0</v>
      </c>
      <c r="I100" s="39" t="n">
        <v>52</v>
      </c>
      <c r="J100" s="4" t="inlineStr">
        <is>
          <t>Bar</t>
        </is>
      </c>
      <c r="K100" s="19" t="inlineStr">
        <is>
          <t>ROSEMOUNT</t>
        </is>
      </c>
      <c r="L100" s="19" t="inlineStr">
        <is>
          <t>3051 PT</t>
        </is>
      </c>
      <c r="M100" s="20" t="n">
        <v>9843513</v>
      </c>
      <c r="N100" s="2">
        <f>IF(E100="","Waiting","Calibrated")</f>
        <v/>
      </c>
      <c r="O100" s="2" t="n">
        <v>10301996</v>
      </c>
      <c r="P100" s="2" t="inlineStr">
        <is>
          <t>ZM06</t>
        </is>
      </c>
      <c r="Q100" s="2" t="inlineStr">
        <is>
          <t>OK</t>
        </is>
      </c>
      <c r="R100" s="28" t="n"/>
      <c r="S100" s="28" t="n"/>
      <c r="T100" s="29" t="n"/>
    </row>
    <row r="101" ht="35.1" customFormat="1" customHeight="1" s="5">
      <c r="A101" s="17" t="n">
        <v>99</v>
      </c>
      <c r="B101" s="17" t="inlineStr">
        <is>
          <t>KIPP10</t>
        </is>
      </c>
      <c r="C101" s="14" t="inlineStr">
        <is>
          <t>10MAX44CP002</t>
        </is>
      </c>
      <c r="D101" s="14" t="inlineStr">
        <is>
          <t>P SAFETY SYSTEM</t>
        </is>
      </c>
      <c r="E101" s="84" t="n"/>
      <c r="F101" s="75" t="n">
        <v>-1.013</v>
      </c>
      <c r="G101" s="75" t="n">
        <v>275.789</v>
      </c>
      <c r="H101" s="39" t="n">
        <v>0</v>
      </c>
      <c r="I101" s="39" t="n">
        <v>52</v>
      </c>
      <c r="J101" s="4" t="inlineStr">
        <is>
          <t>Bar</t>
        </is>
      </c>
      <c r="K101" s="19" t="inlineStr">
        <is>
          <t>ROSEMOUNT</t>
        </is>
      </c>
      <c r="L101" s="19" t="inlineStr">
        <is>
          <t>3051 PT</t>
        </is>
      </c>
      <c r="M101" s="20" t="n">
        <v>9843511</v>
      </c>
      <c r="N101" s="2">
        <f>IF(E101="","Waiting","Calibrated")</f>
        <v/>
      </c>
      <c r="O101" s="2" t="n">
        <v>10302010</v>
      </c>
      <c r="P101" s="2" t="inlineStr">
        <is>
          <t>ZM06</t>
        </is>
      </c>
      <c r="Q101" s="2" t="inlineStr">
        <is>
          <t>OK</t>
        </is>
      </c>
      <c r="R101" s="28" t="n"/>
      <c r="S101" s="28" t="n"/>
      <c r="T101" s="29" t="n"/>
    </row>
    <row r="102" ht="35.1" customFormat="1" customHeight="1" s="5">
      <c r="A102" s="17" t="n">
        <v>100</v>
      </c>
      <c r="B102" s="17" t="inlineStr">
        <is>
          <t>KIPP10</t>
        </is>
      </c>
      <c r="C102" s="14" t="inlineStr">
        <is>
          <t>10MAX44CP003</t>
        </is>
      </c>
      <c r="D102" s="14" t="inlineStr">
        <is>
          <t>P SAFETY SYSTEM</t>
        </is>
      </c>
      <c r="E102" s="84" t="n"/>
      <c r="F102" s="75" t="n">
        <v>-1.013</v>
      </c>
      <c r="G102" s="75" t="n">
        <v>275.789</v>
      </c>
      <c r="H102" s="39" t="n">
        <v>0</v>
      </c>
      <c r="I102" s="39" t="n">
        <v>52</v>
      </c>
      <c r="J102" s="4" t="inlineStr">
        <is>
          <t>Bar</t>
        </is>
      </c>
      <c r="K102" s="19" t="inlineStr">
        <is>
          <t>ROSEMOUNT</t>
        </is>
      </c>
      <c r="L102" s="19" t="inlineStr">
        <is>
          <t>3051 PT</t>
        </is>
      </c>
      <c r="M102" s="20" t="n">
        <v>9843514</v>
      </c>
      <c r="N102" s="2">
        <f>IF(E102="","Waiting","Calibrated")</f>
        <v/>
      </c>
      <c r="O102" s="2" t="n">
        <v>10302085</v>
      </c>
      <c r="P102" s="2" t="inlineStr">
        <is>
          <t>ZM06</t>
        </is>
      </c>
      <c r="Q102" s="2" t="inlineStr">
        <is>
          <t>OK</t>
        </is>
      </c>
      <c r="R102" s="28" t="n"/>
      <c r="S102" s="28" t="n"/>
      <c r="T102" s="29" t="n"/>
    </row>
    <row r="103" ht="35.1" customFormat="1" customHeight="1" s="5">
      <c r="A103" s="17" t="n">
        <v>101</v>
      </c>
      <c r="B103" s="17" t="inlineStr">
        <is>
          <t>KIPP10</t>
        </is>
      </c>
      <c r="C103" s="14" t="inlineStr">
        <is>
          <t>10MKA13CP111</t>
        </is>
      </c>
      <c r="D103" s="14" t="inlineStr">
        <is>
          <t>GEN.AIR BLOWER FILTER PRESSURE</t>
        </is>
      </c>
      <c r="E103" s="84" t="n"/>
      <c r="F103" s="75" t="n">
        <v>-1013.2</v>
      </c>
      <c r="G103" s="75" t="n">
        <v>2068.4</v>
      </c>
      <c r="H103" s="39" t="n">
        <v>-50</v>
      </c>
      <c r="I103" s="39" t="n">
        <v>0</v>
      </c>
      <c r="J103" s="4" t="inlineStr">
        <is>
          <t>mBar</t>
        </is>
      </c>
      <c r="K103" s="19" t="inlineStr">
        <is>
          <t>ROSEMOUNT</t>
        </is>
      </c>
      <c r="L103" s="19" t="inlineStr">
        <is>
          <t>2088 PT</t>
        </is>
      </c>
      <c r="M103" s="20" t="n">
        <v>9917083</v>
      </c>
      <c r="N103" s="2">
        <f>IF(E103="","Waiting","Calibrated")</f>
        <v/>
      </c>
      <c r="O103" s="2" t="n">
        <v>10302093</v>
      </c>
      <c r="P103" s="2" t="inlineStr">
        <is>
          <t>ZM06</t>
        </is>
      </c>
      <c r="Q103" s="2" t="inlineStr">
        <is>
          <t>OK</t>
        </is>
      </c>
      <c r="R103" s="28" t="n"/>
      <c r="S103" s="28" t="n"/>
      <c r="T103" s="29" t="n"/>
    </row>
    <row r="104" ht="35.1" customFormat="1" customHeight="1" s="5">
      <c r="A104" s="17" t="n">
        <v>102</v>
      </c>
      <c r="B104" s="17" t="inlineStr">
        <is>
          <t>KIPP10</t>
        </is>
      </c>
      <c r="C104" s="14" t="inlineStr">
        <is>
          <t>10MKA13CP112</t>
        </is>
      </c>
      <c r="D104" s="14" t="inlineStr">
        <is>
          <t>GEN.AIR BLOWER AFTER FAN PRESSURE</t>
        </is>
      </c>
      <c r="E104" s="84" t="n"/>
      <c r="F104" s="75" t="n">
        <v>-1013.2</v>
      </c>
      <c r="G104" s="75" t="n">
        <v>2068.4</v>
      </c>
      <c r="H104" s="39" t="n">
        <v>0</v>
      </c>
      <c r="I104" s="39" t="n">
        <v>400</v>
      </c>
      <c r="J104" s="4" t="inlineStr">
        <is>
          <t>mBar</t>
        </is>
      </c>
      <c r="K104" s="19" t="inlineStr">
        <is>
          <t>ROSEMOUNT</t>
        </is>
      </c>
      <c r="L104" s="19" t="inlineStr">
        <is>
          <t>2088 PT</t>
        </is>
      </c>
      <c r="M104" s="20" t="n">
        <v>9917081</v>
      </c>
      <c r="N104" s="2">
        <f>IF(E104="","Waiting","Calibrated")</f>
        <v/>
      </c>
      <c r="O104" s="2" t="n">
        <v>10302101</v>
      </c>
      <c r="P104" s="2" t="inlineStr">
        <is>
          <t>ZM06</t>
        </is>
      </c>
      <c r="Q104" s="2" t="inlineStr">
        <is>
          <t>OK</t>
        </is>
      </c>
      <c r="R104" s="28" t="n"/>
      <c r="S104" s="28" t="n"/>
      <c r="T104" s="29" t="n"/>
    </row>
    <row r="105" ht="35.1" customFormat="1" customHeight="1" s="5">
      <c r="A105" s="17" t="n">
        <v>103</v>
      </c>
      <c r="B105" s="17" t="inlineStr">
        <is>
          <t>KIPP10</t>
        </is>
      </c>
      <c r="C105" s="14" t="inlineStr">
        <is>
          <t>10MKA13CP113</t>
        </is>
      </c>
      <c r="D105" s="14" t="inlineStr">
        <is>
          <t>GEN.AIR BLOWER AFTER FAN PRESSURE</t>
        </is>
      </c>
      <c r="E105" s="84" t="n"/>
      <c r="F105" s="75" t="n">
        <v>-1013.2</v>
      </c>
      <c r="G105" s="75" t="n">
        <v>2068.4</v>
      </c>
      <c r="H105" s="39" t="n">
        <v>0</v>
      </c>
      <c r="I105" s="39" t="n">
        <v>400</v>
      </c>
      <c r="J105" s="4" t="inlineStr">
        <is>
          <t>mBar</t>
        </is>
      </c>
      <c r="K105" s="19" t="inlineStr">
        <is>
          <t>ROSEMOUNT</t>
        </is>
      </c>
      <c r="L105" s="19" t="inlineStr">
        <is>
          <t>2088 PT</t>
        </is>
      </c>
      <c r="M105" s="20" t="n">
        <v>9917082</v>
      </c>
      <c r="N105" s="2">
        <f>IF(E105="","Waiting","Calibrated")</f>
        <v/>
      </c>
      <c r="O105" s="2" t="n">
        <v>10302102</v>
      </c>
      <c r="P105" s="2" t="inlineStr">
        <is>
          <t>ZM06</t>
        </is>
      </c>
      <c r="Q105" s="2" t="inlineStr">
        <is>
          <t>OK</t>
        </is>
      </c>
      <c r="R105" s="28" t="n"/>
      <c r="S105" s="28" t="n"/>
      <c r="T105" s="29" t="n"/>
    </row>
    <row r="106" ht="35.1" customFormat="1" customHeight="1" s="5">
      <c r="A106" s="17" t="n">
        <v>104</v>
      </c>
      <c r="B106" s="17" t="inlineStr">
        <is>
          <t>KIPP11</t>
        </is>
      </c>
      <c r="C106" s="14" t="inlineStr">
        <is>
          <t>11EKG40CP101</t>
        </is>
      </c>
      <c r="D106" s="14" t="inlineStr">
        <is>
          <t>FG PERFORMANCE HEATER SKID OUTLET PRESS</t>
        </is>
      </c>
      <c r="E106" s="84" t="n"/>
      <c r="F106" s="75" t="n">
        <v>-1</v>
      </c>
      <c r="G106" s="75" t="n">
        <v>100</v>
      </c>
      <c r="H106" s="39" t="n">
        <v>0</v>
      </c>
      <c r="I106" s="39" t="n">
        <v>61</v>
      </c>
      <c r="J106" s="4" t="inlineStr">
        <is>
          <t>Bar</t>
        </is>
      </c>
      <c r="K106" s="33" t="inlineStr">
        <is>
          <t>YOKOGAWA</t>
        </is>
      </c>
      <c r="L106" s="33" t="inlineStr">
        <is>
          <t>EJA530E</t>
        </is>
      </c>
      <c r="M106" s="19" t="inlineStr">
        <is>
          <t>91S313313</t>
        </is>
      </c>
      <c r="N106" s="2">
        <f>IF(E106="","Waiting","Calibrated")</f>
        <v/>
      </c>
      <c r="O106" s="2" t="n">
        <v>10291890</v>
      </c>
      <c r="P106" s="2" t="inlineStr">
        <is>
          <t>ZM06</t>
        </is>
      </c>
      <c r="Q106" s="2" t="inlineStr">
        <is>
          <t>OK</t>
        </is>
      </c>
      <c r="R106" s="28" t="n"/>
      <c r="S106" s="28" t="n"/>
      <c r="T106" s="29" t="n"/>
    </row>
    <row r="107" ht="35.1" customFormat="1" customHeight="1" s="5">
      <c r="A107" s="17" t="n">
        <v>105</v>
      </c>
      <c r="B107" s="17" t="inlineStr">
        <is>
          <t>KIPP11</t>
        </is>
      </c>
      <c r="C107" s="14" t="inlineStr">
        <is>
          <t>11HAC22CF002</t>
        </is>
      </c>
      <c r="D107" s="14" t="inlineStr">
        <is>
          <t>LP FW FT 1</t>
        </is>
      </c>
      <c r="E107" s="84" t="n">
        <v>46113</v>
      </c>
      <c r="F107" s="75" t="n">
        <v>-621.6</v>
      </c>
      <c r="G107" s="75" t="n">
        <v>621.6</v>
      </c>
      <c r="H107" s="39" t="n">
        <v>0</v>
      </c>
      <c r="I107" s="39" t="n">
        <v>316</v>
      </c>
      <c r="J107" s="4" t="inlineStr">
        <is>
          <t>mBar</t>
        </is>
      </c>
      <c r="K107" s="19" t="inlineStr">
        <is>
          <t>ROSEMOUNT</t>
        </is>
      </c>
      <c r="L107" s="19" t="inlineStr">
        <is>
          <t>2051 PT</t>
        </is>
      </c>
      <c r="M107" s="20" t="n">
        <v>214472</v>
      </c>
      <c r="N107" s="2">
        <f>IF(E107="","Waiting","Calibrated")</f>
        <v/>
      </c>
      <c r="O107" s="2" t="n">
        <v>10295683</v>
      </c>
      <c r="P107" s="2" t="inlineStr">
        <is>
          <t>ZM06</t>
        </is>
      </c>
      <c r="Q107" s="2" t="inlineStr">
        <is>
          <t>OK</t>
        </is>
      </c>
      <c r="R107" s="28" t="n"/>
      <c r="S107" s="28" t="n"/>
      <c r="T107" s="29" t="n"/>
    </row>
    <row r="108" ht="35.1" customFormat="1" customHeight="1" s="5">
      <c r="A108" s="17" t="n">
        <v>106</v>
      </c>
      <c r="B108" s="17" t="inlineStr">
        <is>
          <t>KIPP11</t>
        </is>
      </c>
      <c r="C108" s="14" t="inlineStr">
        <is>
          <t>11HAC22CF003</t>
        </is>
      </c>
      <c r="D108" s="14" t="inlineStr">
        <is>
          <t>LP FW FT 2</t>
        </is>
      </c>
      <c r="E108" s="84" t="n">
        <v>46113</v>
      </c>
      <c r="F108" s="75" t="n">
        <v>-621.6</v>
      </c>
      <c r="G108" s="75" t="n">
        <v>621.6</v>
      </c>
      <c r="H108" s="39" t="n">
        <v>0</v>
      </c>
      <c r="I108" s="39" t="n">
        <v>316</v>
      </c>
      <c r="J108" s="4" t="inlineStr">
        <is>
          <t>mBar</t>
        </is>
      </c>
      <c r="K108" s="19" t="inlineStr">
        <is>
          <t>ROSEMOUNT</t>
        </is>
      </c>
      <c r="L108" s="19" t="inlineStr">
        <is>
          <t>2051 PT</t>
        </is>
      </c>
      <c r="M108" s="20" t="n">
        <v>214473</v>
      </c>
      <c r="N108" s="2">
        <f>IF(E108="","Waiting","Calibrated")</f>
        <v/>
      </c>
      <c r="O108" s="2" t="n">
        <v>10295684</v>
      </c>
      <c r="P108" s="2" t="inlineStr">
        <is>
          <t>ZM06</t>
        </is>
      </c>
      <c r="Q108" s="2" t="inlineStr">
        <is>
          <t>OK</t>
        </is>
      </c>
      <c r="R108" s="28" t="n"/>
      <c r="S108" s="28" t="n"/>
      <c r="T108" s="29" t="n"/>
    </row>
    <row r="109" ht="35.1" customFormat="1" customHeight="1" s="5">
      <c r="A109" s="17" t="n">
        <v>107</v>
      </c>
      <c r="B109" s="17" t="inlineStr">
        <is>
          <t>KIPP11</t>
        </is>
      </c>
      <c r="C109" s="14" t="inlineStr">
        <is>
          <t>11HAC25CP001</t>
        </is>
      </c>
      <c r="D109" s="14" t="inlineStr">
        <is>
          <t>IP ECO O/L PT</t>
        </is>
      </c>
      <c r="E109" s="84" t="n"/>
      <c r="F109" s="75" t="n">
        <v>-1.01</v>
      </c>
      <c r="G109" s="75" t="n">
        <v>275.79</v>
      </c>
      <c r="H109" s="39" t="n">
        <v>0</v>
      </c>
      <c r="I109" s="39" t="n">
        <v>100</v>
      </c>
      <c r="J109" s="4" t="inlineStr">
        <is>
          <t>Bar</t>
        </is>
      </c>
      <c r="K109" s="33" t="inlineStr">
        <is>
          <t>ROSEMOUNT</t>
        </is>
      </c>
      <c r="L109" s="33" t="inlineStr">
        <is>
          <t>2051TG</t>
        </is>
      </c>
      <c r="M109" s="20" t="n">
        <v>210426</v>
      </c>
      <c r="N109" s="2">
        <f>IF(E109="","Waiting","Calibrated")</f>
        <v/>
      </c>
      <c r="O109" s="2" t="n">
        <v>10295718</v>
      </c>
      <c r="P109" s="2" t="inlineStr">
        <is>
          <t>ZM06</t>
        </is>
      </c>
      <c r="Q109" s="2" t="inlineStr">
        <is>
          <t>OK</t>
        </is>
      </c>
      <c r="R109" s="28" t="n"/>
      <c r="S109" s="28" t="n"/>
      <c r="T109" s="29" t="n"/>
    </row>
    <row r="110" ht="35.1" customFormat="1" customHeight="1" s="5">
      <c r="A110" s="17" t="n">
        <v>108</v>
      </c>
      <c r="B110" s="17" t="inlineStr">
        <is>
          <t>KIPP11</t>
        </is>
      </c>
      <c r="C110" s="14" t="inlineStr">
        <is>
          <t>11HAC58CP001</t>
        </is>
      </c>
      <c r="D110" s="14" t="inlineStr">
        <is>
          <t>HP ECO O/L PT</t>
        </is>
      </c>
      <c r="E110" s="84" t="n"/>
      <c r="F110" s="75" t="n">
        <v>0</v>
      </c>
      <c r="G110" s="75" t="n">
        <v>689.7</v>
      </c>
      <c r="H110" s="39" t="n">
        <v>0</v>
      </c>
      <c r="I110" s="39" t="n">
        <v>300</v>
      </c>
      <c r="J110" s="4" t="inlineStr">
        <is>
          <t>Bar</t>
        </is>
      </c>
      <c r="K110" s="33" t="inlineStr">
        <is>
          <t>ROSEMOUNT</t>
        </is>
      </c>
      <c r="L110" s="33" t="inlineStr">
        <is>
          <t>2050TG</t>
        </is>
      </c>
      <c r="M110" s="20" t="n">
        <v>210420</v>
      </c>
      <c r="N110" s="2">
        <f>IF(E110="","Waiting","Calibrated")</f>
        <v/>
      </c>
      <c r="O110" s="2" t="n">
        <v>10295719</v>
      </c>
      <c r="P110" s="2" t="inlineStr">
        <is>
          <t>ZM06</t>
        </is>
      </c>
      <c r="Q110" s="2" t="inlineStr">
        <is>
          <t>OK</t>
        </is>
      </c>
      <c r="R110" s="28" t="n"/>
      <c r="S110" s="28" t="n"/>
      <c r="T110" s="29" t="n"/>
    </row>
    <row r="111" ht="35.1" customFormat="1" customHeight="1" s="5">
      <c r="A111" s="17" t="n">
        <v>109</v>
      </c>
      <c r="B111" s="17" t="inlineStr">
        <is>
          <t>KIPP11</t>
        </is>
      </c>
      <c r="C111" s="14" t="inlineStr">
        <is>
          <t>11HAD10CL001</t>
        </is>
      </c>
      <c r="D111" s="14" t="inlineStr">
        <is>
          <t>LP DRUM LT 1</t>
        </is>
      </c>
      <c r="E111" s="107" t="n">
        <v>46115</v>
      </c>
      <c r="F111" s="75" t="n">
        <v>-6350</v>
      </c>
      <c r="G111" s="75" t="n">
        <v>6350</v>
      </c>
      <c r="H111" s="40" t="n">
        <v>-39</v>
      </c>
      <c r="I111" s="40" t="n">
        <v>-1294</v>
      </c>
      <c r="J111" s="4" t="inlineStr">
        <is>
          <t>mmH2O</t>
        </is>
      </c>
      <c r="K111" s="19" t="inlineStr">
        <is>
          <t>ROSEMOUNT</t>
        </is>
      </c>
      <c r="L111" s="19" t="inlineStr">
        <is>
          <t>2051 PT</t>
        </is>
      </c>
      <c r="M111" s="19" t="n">
        <v>3576009</v>
      </c>
      <c r="N111" s="2">
        <f>IF(E111="","Waiting","Calibrated")</f>
        <v/>
      </c>
      <c r="O111" s="2" t="n">
        <v>10295753</v>
      </c>
      <c r="P111" s="2" t="inlineStr">
        <is>
          <t>ZM06</t>
        </is>
      </c>
      <c r="Q111" s="2" t="n"/>
      <c r="R111" s="28" t="n"/>
      <c r="S111" s="28" t="n"/>
      <c r="T111" s="29" t="n"/>
    </row>
    <row r="112" ht="35.1" customFormat="1" customHeight="1" s="5">
      <c r="A112" s="17" t="n">
        <v>110</v>
      </c>
      <c r="B112" s="17" t="inlineStr">
        <is>
          <t>KIPP11</t>
        </is>
      </c>
      <c r="C112" s="14" t="inlineStr">
        <is>
          <t>11HAD10CL002</t>
        </is>
      </c>
      <c r="D112" s="14" t="inlineStr">
        <is>
          <t>LP DRUM LT 2</t>
        </is>
      </c>
      <c r="E112" s="107" t="n">
        <v>46115</v>
      </c>
      <c r="F112" s="75" t="n">
        <v>-6350</v>
      </c>
      <c r="G112" s="75" t="n">
        <v>6350</v>
      </c>
      <c r="H112" s="40" t="n">
        <v>-39</v>
      </c>
      <c r="I112" s="40" t="n">
        <v>-1294</v>
      </c>
      <c r="J112" s="4" t="inlineStr">
        <is>
          <t>mmH2O</t>
        </is>
      </c>
      <c r="K112" s="19" t="inlineStr">
        <is>
          <t>ROSEMOUNT</t>
        </is>
      </c>
      <c r="L112" s="19" t="inlineStr">
        <is>
          <t>2051 PT</t>
        </is>
      </c>
      <c r="M112" s="19" t="n">
        <v>3576010</v>
      </c>
      <c r="N112" s="2">
        <f>IF(E112="","Waiting","Calibrated")</f>
        <v/>
      </c>
      <c r="O112" s="2" t="n">
        <v>10295754</v>
      </c>
      <c r="P112" s="2" t="inlineStr">
        <is>
          <t>ZM06</t>
        </is>
      </c>
      <c r="Q112" s="2" t="n"/>
      <c r="R112" s="28" t="n"/>
      <c r="S112" s="28" t="n"/>
      <c r="T112" s="29" t="n"/>
    </row>
    <row r="113" ht="35.1" customFormat="1" customHeight="1" s="5">
      <c r="A113" s="17" t="n">
        <v>111</v>
      </c>
      <c r="B113" s="17" t="inlineStr">
        <is>
          <t>KIPP11</t>
        </is>
      </c>
      <c r="C113" s="14" t="inlineStr">
        <is>
          <t>11HAD10CL003</t>
        </is>
      </c>
      <c r="D113" s="14" t="inlineStr">
        <is>
          <t>LP DRUM LT 3</t>
        </is>
      </c>
      <c r="E113" s="107" t="inlineStr">
        <is>
          <t>3.04.2026</t>
        </is>
      </c>
      <c r="F113" s="75" t="n">
        <v>-6350</v>
      </c>
      <c r="G113" s="75" t="n">
        <v>6350</v>
      </c>
      <c r="H113" s="40" t="n">
        <v>-39</v>
      </c>
      <c r="I113" s="40" t="n">
        <v>-1294</v>
      </c>
      <c r="J113" s="4" t="inlineStr">
        <is>
          <t>mmH2O</t>
        </is>
      </c>
      <c r="K113" s="19" t="inlineStr">
        <is>
          <t>ROSEMOUNT</t>
        </is>
      </c>
      <c r="L113" s="19" t="inlineStr">
        <is>
          <t>2051 PT</t>
        </is>
      </c>
      <c r="M113" s="19" t="n">
        <v>3576011</v>
      </c>
      <c r="N113" s="2">
        <f>IF(E113="","Waiting","Calibrated")</f>
        <v/>
      </c>
      <c r="O113" s="2" t="n">
        <v>10295804</v>
      </c>
      <c r="P113" s="2" t="inlineStr">
        <is>
          <t>ZM06</t>
        </is>
      </c>
      <c r="Q113" s="2" t="n"/>
      <c r="R113" s="28" t="n"/>
      <c r="S113" s="28" t="n"/>
      <c r="T113" s="29" t="n"/>
    </row>
    <row r="114" ht="35.1" customFormat="1" customHeight="1" s="5">
      <c r="A114" s="17" t="n">
        <v>112</v>
      </c>
      <c r="B114" s="17" t="inlineStr">
        <is>
          <t>KIPP11</t>
        </is>
      </c>
      <c r="C114" s="14" t="inlineStr">
        <is>
          <t>11HAD10CP001</t>
        </is>
      </c>
      <c r="D114" s="14" t="inlineStr">
        <is>
          <t>LP DRUM PT 1</t>
        </is>
      </c>
      <c r="E114" s="84" t="n"/>
      <c r="F114" s="75" t="n">
        <v>-1.01</v>
      </c>
      <c r="G114" s="75" t="n">
        <v>55.16</v>
      </c>
      <c r="H114" s="39" t="n">
        <v>0</v>
      </c>
      <c r="I114" s="39" t="n">
        <v>15</v>
      </c>
      <c r="J114" s="4" t="inlineStr">
        <is>
          <t>Bar</t>
        </is>
      </c>
      <c r="K114" s="19" t="inlineStr">
        <is>
          <t>ROSEMOUNT</t>
        </is>
      </c>
      <c r="L114" s="19" t="inlineStr">
        <is>
          <t>2051 PT</t>
        </is>
      </c>
      <c r="M114" s="20" t="n">
        <v>3576027</v>
      </c>
      <c r="N114" s="2">
        <f>IF(E114="","Waiting","Calibrated")</f>
        <v/>
      </c>
      <c r="O114" s="2" t="n">
        <v>10296453</v>
      </c>
      <c r="P114" s="2" t="inlineStr">
        <is>
          <t>ZM06</t>
        </is>
      </c>
      <c r="Q114" s="2" t="inlineStr">
        <is>
          <t>OK</t>
        </is>
      </c>
      <c r="R114" s="28" t="n"/>
      <c r="S114" s="28" t="n"/>
      <c r="T114" s="29" t="n"/>
    </row>
    <row r="115" ht="35.1" customFormat="1" customHeight="1" s="5">
      <c r="A115" s="17" t="n">
        <v>113</v>
      </c>
      <c r="B115" s="17" t="inlineStr">
        <is>
          <t>KIPP11</t>
        </is>
      </c>
      <c r="C115" s="14" t="inlineStr">
        <is>
          <t>11HAD10CP002</t>
        </is>
      </c>
      <c r="D115" s="14" t="inlineStr">
        <is>
          <t>LP DRUM PT 2</t>
        </is>
      </c>
      <c r="E115" s="84" t="n"/>
      <c r="F115" s="75" t="n">
        <v>-1.01</v>
      </c>
      <c r="G115" s="75" t="n">
        <v>55.16</v>
      </c>
      <c r="H115" s="39" t="n">
        <v>0</v>
      </c>
      <c r="I115" s="39" t="n">
        <v>15</v>
      </c>
      <c r="J115" s="4" t="inlineStr">
        <is>
          <t>Bar</t>
        </is>
      </c>
      <c r="K115" s="19" t="inlineStr">
        <is>
          <t>ROSEMOUNT</t>
        </is>
      </c>
      <c r="L115" s="19" t="inlineStr">
        <is>
          <t>2051 PT</t>
        </is>
      </c>
      <c r="M115" s="20" t="n">
        <v>3576028</v>
      </c>
      <c r="N115" s="2">
        <f>IF(E115="","Waiting","Calibrated")</f>
        <v/>
      </c>
      <c r="O115" s="2" t="n">
        <v>10296453</v>
      </c>
      <c r="P115" s="2" t="inlineStr">
        <is>
          <t>ZM06</t>
        </is>
      </c>
      <c r="Q115" s="2" t="inlineStr">
        <is>
          <t>OK</t>
        </is>
      </c>
      <c r="R115" s="28" t="n"/>
      <c r="S115" s="28" t="n"/>
      <c r="T115" s="29" t="n"/>
    </row>
    <row r="116" ht="35.1" customFormat="1" customHeight="1" s="5">
      <c r="A116" s="17" t="n">
        <v>114</v>
      </c>
      <c r="B116" s="17" t="inlineStr">
        <is>
          <t>KIPP11</t>
        </is>
      </c>
      <c r="C116" s="14" t="inlineStr">
        <is>
          <t>11HAD10CP003</t>
        </is>
      </c>
      <c r="D116" s="14" t="inlineStr">
        <is>
          <t>LP DRUM PT 3</t>
        </is>
      </c>
      <c r="E116" s="84" t="n"/>
      <c r="F116" s="75" t="n">
        <v>-1.01</v>
      </c>
      <c r="G116" s="75" t="n">
        <v>55.16</v>
      </c>
      <c r="H116" s="39" t="n">
        <v>0</v>
      </c>
      <c r="I116" s="39" t="n">
        <v>15</v>
      </c>
      <c r="J116" s="4" t="inlineStr">
        <is>
          <t>Bar</t>
        </is>
      </c>
      <c r="K116" s="19" t="inlineStr">
        <is>
          <t>ROSEMOUNT</t>
        </is>
      </c>
      <c r="L116" s="19" t="inlineStr">
        <is>
          <t>2051 PT</t>
        </is>
      </c>
      <c r="M116" s="20" t="n">
        <v>3576029</v>
      </c>
      <c r="N116" s="2">
        <f>IF(E116="","Waiting","Calibrated")</f>
        <v/>
      </c>
      <c r="O116" s="2" t="n">
        <v>10296525</v>
      </c>
      <c r="P116" s="2" t="inlineStr">
        <is>
          <t>ZM06</t>
        </is>
      </c>
      <c r="Q116" s="2" t="inlineStr">
        <is>
          <t>OK</t>
        </is>
      </c>
      <c r="R116" s="28" t="n"/>
      <c r="S116" s="28" t="n"/>
      <c r="T116" s="29" t="n"/>
    </row>
    <row r="117" ht="35.1" customFormat="1" customHeight="1" s="5">
      <c r="A117" s="17" t="n">
        <v>115</v>
      </c>
      <c r="B117" s="17" t="inlineStr">
        <is>
          <t>KIPP11</t>
        </is>
      </c>
      <c r="C117" s="14" t="inlineStr">
        <is>
          <t>11HAD30CL001</t>
        </is>
      </c>
      <c r="D117" s="14" t="inlineStr">
        <is>
          <t>IP DRUM LT 1</t>
        </is>
      </c>
      <c r="E117" s="107" t="n">
        <v>46115</v>
      </c>
      <c r="F117" s="75" t="n">
        <v>-6350</v>
      </c>
      <c r="G117" s="75" t="n">
        <v>6350</v>
      </c>
      <c r="H117" s="40" t="n">
        <v>-34</v>
      </c>
      <c r="I117" s="40" t="n">
        <v>-1143</v>
      </c>
      <c r="J117" s="4" t="inlineStr">
        <is>
          <t>mmH2O</t>
        </is>
      </c>
      <c r="K117" s="19" t="inlineStr">
        <is>
          <t>ROSEMOUNT</t>
        </is>
      </c>
      <c r="L117" s="19" t="inlineStr">
        <is>
          <t>2051 PT</t>
        </is>
      </c>
      <c r="M117" s="19" t="n">
        <v>3576006</v>
      </c>
      <c r="N117" s="2">
        <f>IF(E117="","Waiting","Calibrated")</f>
        <v/>
      </c>
      <c r="O117" s="2" t="n">
        <v>10298762</v>
      </c>
      <c r="P117" s="2" t="inlineStr">
        <is>
          <t>ZM06</t>
        </is>
      </c>
      <c r="Q117" s="2" t="n"/>
      <c r="R117" s="28" t="n"/>
      <c r="S117" s="28" t="n"/>
      <c r="T117" s="29" t="n"/>
    </row>
    <row r="118" ht="35.1" customFormat="1" customHeight="1" s="5">
      <c r="A118" s="17" t="n">
        <v>116</v>
      </c>
      <c r="B118" s="17" t="inlineStr">
        <is>
          <t>KIPP11</t>
        </is>
      </c>
      <c r="C118" s="14" t="inlineStr">
        <is>
          <t>11HAD30CL002</t>
        </is>
      </c>
      <c r="D118" s="14" t="inlineStr">
        <is>
          <t>IP DRUM LT 2</t>
        </is>
      </c>
      <c r="E118" s="107" t="n">
        <v>46115</v>
      </c>
      <c r="F118" s="75" t="n">
        <v>-6350</v>
      </c>
      <c r="G118" s="75" t="n">
        <v>6350</v>
      </c>
      <c r="H118" s="40" t="n">
        <v>-34</v>
      </c>
      <c r="I118" s="40" t="n">
        <v>-1143</v>
      </c>
      <c r="J118" s="4" t="inlineStr">
        <is>
          <t>mmH2O</t>
        </is>
      </c>
      <c r="K118" s="19" t="inlineStr">
        <is>
          <t>ROSEMOUNT</t>
        </is>
      </c>
      <c r="L118" s="19" t="inlineStr">
        <is>
          <t>2051 PT</t>
        </is>
      </c>
      <c r="M118" s="19" t="n">
        <v>3576007</v>
      </c>
      <c r="N118" s="2">
        <f>IF(E118="","Waiting","Calibrated")</f>
        <v/>
      </c>
      <c r="O118" s="2" t="n">
        <v>10298763</v>
      </c>
      <c r="P118" s="2" t="inlineStr">
        <is>
          <t>ZM06</t>
        </is>
      </c>
      <c r="Q118" s="2" t="n"/>
      <c r="R118" s="28" t="n"/>
      <c r="S118" s="28" t="n"/>
      <c r="T118" s="29" t="n"/>
    </row>
    <row r="119" ht="35.1" customFormat="1" customHeight="1" s="5">
      <c r="A119" s="17" t="n">
        <v>117</v>
      </c>
      <c r="B119" s="17" t="inlineStr">
        <is>
          <t>KIPP11</t>
        </is>
      </c>
      <c r="C119" s="14" t="inlineStr">
        <is>
          <t>11HAD30CL003</t>
        </is>
      </c>
      <c r="D119" s="14" t="inlineStr">
        <is>
          <t>IP DRUM LT 3</t>
        </is>
      </c>
      <c r="E119" s="107" t="n">
        <v>46115</v>
      </c>
      <c r="F119" s="75" t="n">
        <v>-6350</v>
      </c>
      <c r="G119" s="75" t="n">
        <v>6350</v>
      </c>
      <c r="H119" s="40" t="n">
        <v>-34</v>
      </c>
      <c r="I119" s="40" t="n">
        <v>-1143</v>
      </c>
      <c r="J119" s="4" t="inlineStr">
        <is>
          <t>mmH2O</t>
        </is>
      </c>
      <c r="K119" s="19" t="inlineStr">
        <is>
          <t>ROSEMOUNT</t>
        </is>
      </c>
      <c r="L119" s="19" t="inlineStr">
        <is>
          <t>2051 PT</t>
        </is>
      </c>
      <c r="M119" s="19" t="n">
        <v>3576008</v>
      </c>
      <c r="N119" s="2">
        <f>IF(E119="","Waiting","Calibrated")</f>
        <v/>
      </c>
      <c r="O119" s="2" t="n">
        <v>10299168</v>
      </c>
      <c r="P119" s="2" t="inlineStr">
        <is>
          <t>ZM06</t>
        </is>
      </c>
      <c r="Q119" s="2" t="n"/>
      <c r="R119" s="28" t="n"/>
      <c r="S119" s="28" t="n"/>
      <c r="T119" s="29" t="n"/>
    </row>
    <row r="120" ht="35.1" customFormat="1" customHeight="1" s="5">
      <c r="A120" s="17" t="n">
        <v>118</v>
      </c>
      <c r="B120" s="17" t="inlineStr">
        <is>
          <t>KIPP11</t>
        </is>
      </c>
      <c r="C120" s="14" t="inlineStr">
        <is>
          <t>11HAD30CP001</t>
        </is>
      </c>
      <c r="D120" s="14" t="inlineStr">
        <is>
          <t>IP DRUM PT 1</t>
        </is>
      </c>
      <c r="E120" s="84" t="n"/>
      <c r="F120" s="75" t="n">
        <v>-1.01</v>
      </c>
      <c r="G120" s="75" t="n">
        <v>275.79</v>
      </c>
      <c r="H120" s="39" t="n">
        <v>0</v>
      </c>
      <c r="I120" s="39" t="n">
        <v>60</v>
      </c>
      <c r="J120" s="4" t="inlineStr">
        <is>
          <t>Bar</t>
        </is>
      </c>
      <c r="K120" s="19" t="inlineStr">
        <is>
          <t>ROSEMOUNT</t>
        </is>
      </c>
      <c r="L120" s="19" t="inlineStr">
        <is>
          <t>2051 PT</t>
        </is>
      </c>
      <c r="M120" s="20" t="n">
        <v>3575997</v>
      </c>
      <c r="N120" s="2">
        <f>IF(E120="","Waiting","Calibrated")</f>
        <v/>
      </c>
      <c r="O120" s="2" t="n">
        <v>10299182</v>
      </c>
      <c r="P120" s="2" t="inlineStr">
        <is>
          <t>ZM06</t>
        </is>
      </c>
      <c r="Q120" s="2" t="inlineStr">
        <is>
          <t>OK</t>
        </is>
      </c>
      <c r="R120" s="28" t="n"/>
      <c r="S120" s="28" t="inlineStr">
        <is>
          <t>10LAB10GH101</t>
        </is>
      </c>
      <c r="T120" s="29" t="n"/>
    </row>
    <row r="121" ht="35.1" customFormat="1" customHeight="1" s="5">
      <c r="A121" s="17" t="n">
        <v>119</v>
      </c>
      <c r="B121" s="17" t="inlineStr">
        <is>
          <t>KIPP11</t>
        </is>
      </c>
      <c r="C121" s="14" t="inlineStr">
        <is>
          <t>11HAD30CP002</t>
        </is>
      </c>
      <c r="D121" s="14" t="inlineStr">
        <is>
          <t>IP DRUM PT 2</t>
        </is>
      </c>
      <c r="E121" s="84" t="n"/>
      <c r="F121" s="75" t="n">
        <v>-1.01</v>
      </c>
      <c r="G121" s="75" t="n">
        <v>275.79</v>
      </c>
      <c r="H121" s="39" t="n">
        <v>0</v>
      </c>
      <c r="I121" s="39" t="n">
        <v>60</v>
      </c>
      <c r="J121" s="4" t="inlineStr">
        <is>
          <t>Bar</t>
        </is>
      </c>
      <c r="K121" s="19" t="inlineStr">
        <is>
          <t>ROSEMOUNT</t>
        </is>
      </c>
      <c r="L121" s="19" t="inlineStr">
        <is>
          <t>2051 PT</t>
        </is>
      </c>
      <c r="M121" s="20" t="n">
        <v>3575998</v>
      </c>
      <c r="N121" s="2">
        <f>IF(E121="","Waiting","Calibrated")</f>
        <v/>
      </c>
      <c r="O121" s="2" t="n">
        <v>10296596</v>
      </c>
      <c r="P121" s="2" t="inlineStr">
        <is>
          <t>ZM06</t>
        </is>
      </c>
      <c r="Q121" s="2" t="inlineStr">
        <is>
          <t>OK</t>
        </is>
      </c>
      <c r="R121" s="28" t="n"/>
      <c r="S121" s="28" t="n"/>
      <c r="T121" s="29" t="n"/>
    </row>
    <row r="122" ht="35.1" customFormat="1" customHeight="1" s="5">
      <c r="A122" s="17" t="n">
        <v>120</v>
      </c>
      <c r="B122" s="17" t="inlineStr">
        <is>
          <t>KIPP11</t>
        </is>
      </c>
      <c r="C122" s="14" t="inlineStr">
        <is>
          <t>11HAD30CP003</t>
        </is>
      </c>
      <c r="D122" s="14" t="inlineStr">
        <is>
          <t>IP DRUM PT 3</t>
        </is>
      </c>
      <c r="E122" s="84" t="n"/>
      <c r="F122" s="75" t="n">
        <v>-1.01</v>
      </c>
      <c r="G122" s="75" t="n">
        <v>275.79</v>
      </c>
      <c r="H122" s="39" t="n">
        <v>0</v>
      </c>
      <c r="I122" s="39" t="n">
        <v>60</v>
      </c>
      <c r="J122" s="4" t="inlineStr">
        <is>
          <t>Bar</t>
        </is>
      </c>
      <c r="K122" s="19" t="inlineStr">
        <is>
          <t>ROSEMOUNT</t>
        </is>
      </c>
      <c r="L122" s="19" t="inlineStr">
        <is>
          <t>2051 PT</t>
        </is>
      </c>
      <c r="M122" s="20" t="n">
        <v>3575999</v>
      </c>
      <c r="N122" s="2">
        <f>IF(E122="","Waiting","Calibrated")</f>
        <v/>
      </c>
      <c r="O122" s="2" t="n">
        <v>10296597</v>
      </c>
      <c r="P122" s="2" t="inlineStr">
        <is>
          <t>ZM06</t>
        </is>
      </c>
      <c r="Q122" s="2" t="inlineStr">
        <is>
          <t>OK</t>
        </is>
      </c>
      <c r="R122" s="28" t="n"/>
      <c r="S122" s="28" t="n"/>
      <c r="T122" s="29" t="n"/>
    </row>
    <row r="123" ht="35.1" customFormat="1" customHeight="1" s="5">
      <c r="A123" s="17" t="n">
        <v>121</v>
      </c>
      <c r="B123" s="17" t="inlineStr">
        <is>
          <t>KIPP11</t>
        </is>
      </c>
      <c r="C123" s="14" t="inlineStr">
        <is>
          <t>11HAD50CL001</t>
        </is>
      </c>
      <c r="D123" s="14" t="inlineStr">
        <is>
          <t>HP DRUM LT 1</t>
        </is>
      </c>
      <c r="E123" s="107" t="n">
        <v>46115</v>
      </c>
      <c r="F123" s="75" t="n">
        <v>-6350</v>
      </c>
      <c r="G123" s="75" t="n">
        <v>6350</v>
      </c>
      <c r="H123" s="40" t="n">
        <v>-39</v>
      </c>
      <c r="I123" s="39" t="n">
        <v>-1304</v>
      </c>
      <c r="J123" s="4" t="inlineStr">
        <is>
          <t>mmH2O</t>
        </is>
      </c>
      <c r="K123" s="33" t="inlineStr">
        <is>
          <t>ROSEMOUNT</t>
        </is>
      </c>
      <c r="L123" s="33" t="inlineStr">
        <is>
          <t>2051 PT</t>
        </is>
      </c>
      <c r="M123" s="20" t="n">
        <v>3576004</v>
      </c>
      <c r="N123" s="2">
        <f>IF(E123="","Waiting","Calibrated")</f>
        <v/>
      </c>
      <c r="O123" s="2" t="n">
        <v>10297154</v>
      </c>
      <c r="P123" s="2" t="inlineStr">
        <is>
          <t>ZM06</t>
        </is>
      </c>
      <c r="Q123" s="2" t="n"/>
      <c r="R123" s="28" t="n"/>
      <c r="S123" s="32" t="n"/>
      <c r="T123" s="29" t="n"/>
    </row>
    <row r="124" ht="35.1" customFormat="1" customHeight="1" s="5">
      <c r="A124" s="17" t="n">
        <v>122</v>
      </c>
      <c r="B124" s="17" t="inlineStr">
        <is>
          <t>KIPP11</t>
        </is>
      </c>
      <c r="C124" s="14" t="inlineStr">
        <is>
          <t>11HAD50CL002</t>
        </is>
      </c>
      <c r="D124" s="14" t="inlineStr">
        <is>
          <t>HP DRUM LT 2</t>
        </is>
      </c>
      <c r="E124" s="107" t="n">
        <v>46115</v>
      </c>
      <c r="F124" s="75" t="n">
        <v>-6350</v>
      </c>
      <c r="G124" s="75" t="n">
        <v>6350</v>
      </c>
      <c r="H124" s="40" t="n">
        <v>-39</v>
      </c>
      <c r="I124" s="39" t="n">
        <v>-1301</v>
      </c>
      <c r="J124" s="4" t="inlineStr">
        <is>
          <t>mmH2O</t>
        </is>
      </c>
      <c r="K124" s="19" t="inlineStr">
        <is>
          <t>ROSEMOUNT</t>
        </is>
      </c>
      <c r="L124" s="19" t="inlineStr">
        <is>
          <t>2051 PT</t>
        </is>
      </c>
      <c r="M124" s="19" t="n">
        <v>3576003</v>
      </c>
      <c r="N124" s="2">
        <f>IF(E124="","Waiting","Calibrated")</f>
        <v/>
      </c>
      <c r="O124" s="2" t="n">
        <v>10297155</v>
      </c>
      <c r="P124" s="2" t="inlineStr">
        <is>
          <t>ZM06</t>
        </is>
      </c>
      <c r="Q124" s="2" t="n"/>
      <c r="R124" s="28" t="n"/>
      <c r="S124" s="28" t="inlineStr">
        <is>
          <t>Indikatör</t>
        </is>
      </c>
      <c r="T124" s="29" t="n"/>
    </row>
    <row r="125" ht="35.1" customFormat="1" customHeight="1" s="5">
      <c r="A125" s="17" t="n">
        <v>123</v>
      </c>
      <c r="B125" s="17" t="inlineStr">
        <is>
          <t>KIPP11</t>
        </is>
      </c>
      <c r="C125" s="14" t="inlineStr">
        <is>
          <t>11HAD50CL003</t>
        </is>
      </c>
      <c r="D125" s="14" t="inlineStr">
        <is>
          <t>HP DRUM LT 3</t>
        </is>
      </c>
      <c r="E125" s="107" t="n"/>
      <c r="F125" s="75" t="n">
        <v>-6350</v>
      </c>
      <c r="G125" s="75" t="n">
        <v>6350</v>
      </c>
      <c r="H125" s="40" t="n">
        <v>-39</v>
      </c>
      <c r="I125" s="39" t="n">
        <v>-1304</v>
      </c>
      <c r="J125" s="4" t="inlineStr">
        <is>
          <t>mmH2O</t>
        </is>
      </c>
      <c r="K125" s="19" t="inlineStr">
        <is>
          <t>ROSEMOUNT</t>
        </is>
      </c>
      <c r="L125" s="19" t="inlineStr">
        <is>
          <t>2051 PT</t>
        </is>
      </c>
      <c r="M125" s="19" t="n">
        <v>3576005</v>
      </c>
      <c r="N125" s="2">
        <f>IF(E125="","Waiting","Calibrated")</f>
        <v/>
      </c>
      <c r="O125" s="2" t="n">
        <v>10296592</v>
      </c>
      <c r="P125" s="2" t="inlineStr">
        <is>
          <t>ZM06</t>
        </is>
      </c>
      <c r="Q125" s="2" t="n"/>
      <c r="R125" s="28" t="n"/>
      <c r="S125" s="28" t="n"/>
      <c r="T125" s="29" t="n"/>
    </row>
    <row r="126" ht="35.1" customFormat="1" customHeight="1" s="5">
      <c r="A126" s="17" t="n">
        <v>124</v>
      </c>
      <c r="B126" s="17" t="inlineStr">
        <is>
          <t>KIPP11</t>
        </is>
      </c>
      <c r="C126" s="14" t="inlineStr">
        <is>
          <t>11HAD50CP001</t>
        </is>
      </c>
      <c r="D126" s="14" t="inlineStr">
        <is>
          <t>HP DRUM PT 1</t>
        </is>
      </c>
      <c r="E126" s="84" t="n">
        <v>46113</v>
      </c>
      <c r="F126" s="75" t="n">
        <v>0</v>
      </c>
      <c r="G126" s="75" t="n">
        <v>689.5</v>
      </c>
      <c r="H126" s="39" t="n">
        <v>0</v>
      </c>
      <c r="I126" s="39" t="n">
        <v>200</v>
      </c>
      <c r="J126" s="4" t="inlineStr">
        <is>
          <t>Bar</t>
        </is>
      </c>
      <c r="K126" s="19" t="inlineStr">
        <is>
          <t>ROSEMOUNT</t>
        </is>
      </c>
      <c r="L126" s="19" t="inlineStr">
        <is>
          <t>2051 PT</t>
        </is>
      </c>
      <c r="M126" s="20" t="n">
        <v>3575991</v>
      </c>
      <c r="N126" s="2">
        <f>IF(E126="","Waiting","Calibrated")</f>
        <v/>
      </c>
      <c r="O126" s="2" t="n">
        <v>10296623</v>
      </c>
      <c r="P126" s="2" t="inlineStr">
        <is>
          <t>ZM06</t>
        </is>
      </c>
      <c r="Q126" s="2" t="inlineStr">
        <is>
          <t>OK</t>
        </is>
      </c>
      <c r="R126" s="28" t="n"/>
      <c r="S126" s="28" t="n"/>
      <c r="T126" s="29" t="n"/>
    </row>
    <row r="127" ht="35.1" customFormat="1" customHeight="1" s="5">
      <c r="A127" s="17" t="n">
        <v>125</v>
      </c>
      <c r="B127" s="17" t="inlineStr">
        <is>
          <t>KIPP11</t>
        </is>
      </c>
      <c r="C127" s="14" t="inlineStr">
        <is>
          <t>11HAD50CP002</t>
        </is>
      </c>
      <c r="D127" s="14" t="inlineStr">
        <is>
          <t>HP DRUM PT 2</t>
        </is>
      </c>
      <c r="E127" s="84" t="n">
        <v>46113</v>
      </c>
      <c r="F127" s="75" t="n">
        <v>0</v>
      </c>
      <c r="G127" s="75" t="n">
        <v>689.5</v>
      </c>
      <c r="H127" s="39" t="n">
        <v>0</v>
      </c>
      <c r="I127" s="39" t="n">
        <v>200</v>
      </c>
      <c r="J127" s="4" t="inlineStr">
        <is>
          <t>Bar</t>
        </is>
      </c>
      <c r="K127" s="19" t="inlineStr">
        <is>
          <t>ROSEMOUNT</t>
        </is>
      </c>
      <c r="L127" s="19" t="inlineStr">
        <is>
          <t>2051 PT</t>
        </is>
      </c>
      <c r="M127" s="20" t="n">
        <v>3575992</v>
      </c>
      <c r="N127" s="2">
        <f>IF(E127="","Waiting","Calibrated")</f>
        <v/>
      </c>
      <c r="O127" s="2" t="n">
        <v>10296624</v>
      </c>
      <c r="P127" s="2" t="inlineStr">
        <is>
          <t>ZM06</t>
        </is>
      </c>
      <c r="Q127" s="2" t="inlineStr">
        <is>
          <t>OK</t>
        </is>
      </c>
      <c r="R127" s="28" t="n"/>
      <c r="S127" s="28" t="n"/>
      <c r="T127" s="29" t="n"/>
    </row>
    <row r="128" ht="35.1" customFormat="1" customHeight="1" s="5">
      <c r="A128" s="17" t="n">
        <v>126</v>
      </c>
      <c r="B128" s="17" t="inlineStr">
        <is>
          <t>KIPP11</t>
        </is>
      </c>
      <c r="C128" s="14" t="inlineStr">
        <is>
          <t>11HAD50CP003</t>
        </is>
      </c>
      <c r="D128" s="14" t="inlineStr">
        <is>
          <t>HP DRUM PT 3</t>
        </is>
      </c>
      <c r="E128" s="84" t="n">
        <v>46113</v>
      </c>
      <c r="F128" s="75" t="n">
        <v>0</v>
      </c>
      <c r="G128" s="75" t="n">
        <v>689.5</v>
      </c>
      <c r="H128" s="39" t="n">
        <v>0</v>
      </c>
      <c r="I128" s="39" t="n">
        <v>200</v>
      </c>
      <c r="J128" s="4" t="inlineStr">
        <is>
          <t>Bar</t>
        </is>
      </c>
      <c r="K128" s="19" t="inlineStr">
        <is>
          <t>ROSEMOUNT</t>
        </is>
      </c>
      <c r="L128" s="19" t="inlineStr">
        <is>
          <t>2051 PT</t>
        </is>
      </c>
      <c r="M128" s="20" t="n">
        <v>3575993</v>
      </c>
      <c r="N128" s="2">
        <f>IF(E128="","Waiting","Calibrated")</f>
        <v/>
      </c>
      <c r="O128" s="2" t="n">
        <v>10296662</v>
      </c>
      <c r="P128" s="2" t="inlineStr">
        <is>
          <t>ZM06</t>
        </is>
      </c>
      <c r="Q128" s="2" t="inlineStr">
        <is>
          <t>OK</t>
        </is>
      </c>
      <c r="R128" s="28" t="n"/>
      <c r="S128" s="28" t="n"/>
      <c r="T128" s="29" t="n"/>
    </row>
    <row r="129" ht="35.1" customFormat="1" customHeight="1" s="5">
      <c r="A129" s="17" t="n">
        <v>127</v>
      </c>
      <c r="B129" s="17" t="inlineStr">
        <is>
          <t>KIPP11</t>
        </is>
      </c>
      <c r="C129" s="14" t="inlineStr">
        <is>
          <t>11LAB20CF101</t>
        </is>
      </c>
      <c r="D129" s="14" t="inlineStr">
        <is>
          <t>HP STEAM BYPASS SPRAYAY WATER FT</t>
        </is>
      </c>
      <c r="E129" s="84" t="n"/>
      <c r="F129" s="75" t="n">
        <v>-6350</v>
      </c>
      <c r="G129" s="75" t="n">
        <v>6350</v>
      </c>
      <c r="H129" s="39" t="n">
        <v>0</v>
      </c>
      <c r="I129" s="39" t="n">
        <v>6300</v>
      </c>
      <c r="J129" s="4" t="inlineStr">
        <is>
          <t>mmH2O</t>
        </is>
      </c>
      <c r="K129" s="19" t="inlineStr">
        <is>
          <t>ROSEMOUNT</t>
        </is>
      </c>
      <c r="L129" s="19" t="inlineStr">
        <is>
          <t>2051 PT</t>
        </is>
      </c>
      <c r="M129" s="20" t="n">
        <v>214447</v>
      </c>
      <c r="N129" s="2">
        <f>IF(E129="","Waiting","Calibrated")</f>
        <v/>
      </c>
      <c r="O129" s="2" t="n">
        <v>10296663</v>
      </c>
      <c r="P129" s="2" t="inlineStr">
        <is>
          <t>ZM06</t>
        </is>
      </c>
      <c r="Q129" s="2" t="inlineStr">
        <is>
          <t>OK</t>
        </is>
      </c>
      <c r="R129" s="28" t="n"/>
      <c r="S129" s="28" t="n"/>
      <c r="T129" s="29" t="n"/>
    </row>
    <row r="130" ht="35.1" customFormat="1" customHeight="1" s="5">
      <c r="A130" s="17" t="n">
        <v>128</v>
      </c>
      <c r="B130" s="17" t="inlineStr">
        <is>
          <t>KIPP11</t>
        </is>
      </c>
      <c r="C130" s="14" t="inlineStr">
        <is>
          <t>11LAB31CF101</t>
        </is>
      </c>
      <c r="D130" s="14" t="inlineStr">
        <is>
          <t>FEED WATER FROM CONDENSATE PREHEATER FT</t>
        </is>
      </c>
      <c r="E130" s="84" t="n"/>
      <c r="F130" s="75" t="n">
        <v>-10197.2</v>
      </c>
      <c r="G130" s="75" t="n">
        <v>10197.2</v>
      </c>
      <c r="H130" s="39" t="n">
        <v>0</v>
      </c>
      <c r="I130" s="39" t="n">
        <v>7500</v>
      </c>
      <c r="J130" s="4" t="inlineStr">
        <is>
          <t>mmH2O</t>
        </is>
      </c>
      <c r="K130" s="19" t="inlineStr">
        <is>
          <t>YOKOGAWA</t>
        </is>
      </c>
      <c r="L130" s="19" t="inlineStr">
        <is>
          <t>EJA110E</t>
        </is>
      </c>
      <c r="M130" s="19" t="inlineStr">
        <is>
          <t>91S313068</t>
        </is>
      </c>
      <c r="N130" s="2">
        <f>IF(E130="","Waiting","Calibrated")</f>
        <v/>
      </c>
      <c r="O130" s="2" t="n">
        <v>10296671</v>
      </c>
      <c r="P130" s="2" t="inlineStr">
        <is>
          <t>ZM06</t>
        </is>
      </c>
      <c r="Q130" s="2" t="inlineStr">
        <is>
          <t>OK</t>
        </is>
      </c>
      <c r="R130" s="28" t="n"/>
      <c r="S130" s="28" t="n"/>
      <c r="T130" s="29" t="n"/>
    </row>
    <row r="131" ht="35.1" customFormat="1" customHeight="1" s="5">
      <c r="A131" s="17" t="n">
        <v>129</v>
      </c>
      <c r="B131" s="17" t="inlineStr">
        <is>
          <t>KIPP11</t>
        </is>
      </c>
      <c r="C131" s="14" t="inlineStr">
        <is>
          <t>11LAB46CP001</t>
        </is>
      </c>
      <c r="D131" s="14" t="inlineStr">
        <is>
          <t>IP/LP FW PT</t>
        </is>
      </c>
      <c r="E131" s="84" t="n">
        <v>46114</v>
      </c>
      <c r="F131" s="75" t="n">
        <v>-1.01</v>
      </c>
      <c r="G131" s="75" t="n">
        <v>275.79</v>
      </c>
      <c r="H131" s="39" t="n">
        <v>0</v>
      </c>
      <c r="I131" s="39" t="n">
        <v>100</v>
      </c>
      <c r="J131" s="4" t="inlineStr">
        <is>
          <t>Bar</t>
        </is>
      </c>
      <c r="K131" s="19" t="inlineStr">
        <is>
          <t>ROSEMOUNT</t>
        </is>
      </c>
      <c r="L131" s="19" t="inlineStr">
        <is>
          <t>2051 PT</t>
        </is>
      </c>
      <c r="M131" s="20" t="n">
        <v>210430</v>
      </c>
      <c r="N131" s="2">
        <f>IF(E131="","Waiting","Calibrated")</f>
        <v/>
      </c>
      <c r="O131" s="2" t="n">
        <v>10296672</v>
      </c>
      <c r="P131" s="2" t="inlineStr">
        <is>
          <t>ZM06</t>
        </is>
      </c>
      <c r="Q131" s="2" t="inlineStr">
        <is>
          <t>OK</t>
        </is>
      </c>
      <c r="R131" s="28" t="n"/>
      <c r="S131" s="28" t="n"/>
      <c r="T131" s="29" t="n"/>
    </row>
    <row r="132" ht="35.1" customFormat="1" customHeight="1" s="5">
      <c r="A132" s="17" t="n">
        <v>130</v>
      </c>
      <c r="B132" s="17" t="inlineStr">
        <is>
          <t>KIPP11</t>
        </is>
      </c>
      <c r="C132" s="14" t="inlineStr">
        <is>
          <t>11LAB90CP001</t>
        </is>
      </c>
      <c r="D132" s="14" t="inlineStr">
        <is>
          <t>FEED WATER TO GT OTC STRAINER PDT</t>
        </is>
      </c>
      <c r="E132" s="84" t="n"/>
      <c r="F132" s="75" t="n">
        <v>-5</v>
      </c>
      <c r="G132" s="75" t="n">
        <v>5</v>
      </c>
      <c r="H132" s="39" t="n">
        <v>0</v>
      </c>
      <c r="I132" s="39" t="n">
        <v>2</v>
      </c>
      <c r="J132" s="4" t="inlineStr">
        <is>
          <t>Bar</t>
        </is>
      </c>
      <c r="K132" s="33" t="inlineStr">
        <is>
          <t>YOKOGAWA</t>
        </is>
      </c>
      <c r="L132" s="33" t="inlineStr">
        <is>
          <t>EJA110E</t>
        </is>
      </c>
      <c r="M132" s="20" t="inlineStr">
        <is>
          <t>91S313545</t>
        </is>
      </c>
      <c r="N132" s="2">
        <f>IF(E132="","Waiting","Calibrated")</f>
        <v/>
      </c>
      <c r="O132" s="2" t="n">
        <v>10296673</v>
      </c>
      <c r="P132" s="2" t="inlineStr">
        <is>
          <t>ZM06</t>
        </is>
      </c>
      <c r="Q132" s="2" t="n"/>
      <c r="R132" s="28" t="n"/>
      <c r="S132" s="28" t="n"/>
      <c r="T132" s="29" t="n"/>
    </row>
    <row r="133" ht="35.1" customFormat="1" customHeight="1" s="5">
      <c r="A133" s="17" t="n">
        <v>131</v>
      </c>
      <c r="B133" s="17" t="inlineStr">
        <is>
          <t>KIPP11</t>
        </is>
      </c>
      <c r="C133" s="14" t="inlineStr">
        <is>
          <t>11LAB91CF101</t>
        </is>
      </c>
      <c r="D133" s="14" t="inlineStr">
        <is>
          <t>FW LP OTC  FITCA</t>
        </is>
      </c>
      <c r="E133" s="84" t="n"/>
      <c r="F133" s="75" t="n">
        <v>-2486.4</v>
      </c>
      <c r="G133" s="75" t="n">
        <v>2486.4</v>
      </c>
      <c r="H133" s="39" t="n">
        <v>0</v>
      </c>
      <c r="I133" s="39" t="n">
        <v>600</v>
      </c>
      <c r="J133" s="4" t="inlineStr">
        <is>
          <t>mBar</t>
        </is>
      </c>
      <c r="K133" s="33" t="inlineStr">
        <is>
          <t>ROSEMOUNT</t>
        </is>
      </c>
      <c r="L133" s="33" t="inlineStr">
        <is>
          <t>3051CD</t>
        </is>
      </c>
      <c r="M133" s="20" t="n">
        <v>9816770</v>
      </c>
      <c r="N133" s="2">
        <f>IF(E133="","Waiting","Calibrated")</f>
        <v/>
      </c>
      <c r="O133" s="2" t="n">
        <v>10297054</v>
      </c>
      <c r="P133" s="2" t="inlineStr">
        <is>
          <t>ZM06</t>
        </is>
      </c>
      <c r="Q133" s="2" t="n"/>
      <c r="R133" s="28" t="n"/>
      <c r="S133" s="28" t="n"/>
      <c r="T133" s="29" t="n"/>
    </row>
    <row r="134" ht="35.1" customFormat="1" customHeight="1" s="5">
      <c r="A134" s="17" t="n">
        <v>132</v>
      </c>
      <c r="B134" s="17" t="inlineStr">
        <is>
          <t>KIPP11</t>
        </is>
      </c>
      <c r="C134" s="14" t="inlineStr">
        <is>
          <t>11LAB91CF102</t>
        </is>
      </c>
      <c r="D134" s="14" t="inlineStr">
        <is>
          <t>FW LP OTC  FITCA</t>
        </is>
      </c>
      <c r="E134" s="84" t="n"/>
      <c r="F134" s="75" t="n">
        <v>-2486.4</v>
      </c>
      <c r="G134" s="75" t="n">
        <v>2486.4</v>
      </c>
      <c r="H134" s="39" t="n">
        <v>0</v>
      </c>
      <c r="I134" s="39" t="n">
        <v>600</v>
      </c>
      <c r="J134" s="4" t="inlineStr">
        <is>
          <t>mBar</t>
        </is>
      </c>
      <c r="K134" s="33" t="inlineStr">
        <is>
          <t>ROSEMOUNT</t>
        </is>
      </c>
      <c r="L134" s="33" t="inlineStr">
        <is>
          <t>3051CD</t>
        </is>
      </c>
      <c r="M134" s="20" t="n">
        <v>9816771</v>
      </c>
      <c r="N134" s="2">
        <f>IF(E134="","Waiting","Calibrated")</f>
        <v/>
      </c>
      <c r="O134" s="2" t="n">
        <v>10297055</v>
      </c>
      <c r="P134" s="2" t="inlineStr">
        <is>
          <t>ZM06</t>
        </is>
      </c>
      <c r="Q134" s="2" t="n"/>
      <c r="R134" s="28" t="n"/>
      <c r="S134" s="28" t="n"/>
      <c r="T134" s="29" t="n"/>
    </row>
    <row r="135" ht="35.1" customFormat="1" customHeight="1" s="5">
      <c r="A135" s="17" t="n">
        <v>133</v>
      </c>
      <c r="B135" s="17" t="inlineStr">
        <is>
          <t>KIPP11</t>
        </is>
      </c>
      <c r="C135" s="14" t="inlineStr">
        <is>
          <t>11LAB92CF101</t>
        </is>
      </c>
      <c r="D135" s="14" t="inlineStr">
        <is>
          <t>FW HP OTC  FITCA</t>
        </is>
      </c>
      <c r="E135" s="84" t="n"/>
      <c r="F135" s="75" t="n">
        <v>-2486.4</v>
      </c>
      <c r="G135" s="75" t="n">
        <v>2486.4</v>
      </c>
      <c r="H135" s="39" t="n">
        <v>0</v>
      </c>
      <c r="I135" s="39" t="n">
        <v>250</v>
      </c>
      <c r="J135" s="4" t="inlineStr">
        <is>
          <t>mBar</t>
        </is>
      </c>
      <c r="K135" s="33" t="inlineStr">
        <is>
          <t>ROSEMOUNT</t>
        </is>
      </c>
      <c r="L135" s="33" t="inlineStr">
        <is>
          <t>3051CD</t>
        </is>
      </c>
      <c r="M135" s="20" t="n">
        <v>9816772</v>
      </c>
      <c r="N135" s="2">
        <f>IF(E135="","Waiting","Calibrated")</f>
        <v/>
      </c>
      <c r="O135" s="2" t="n">
        <v>10297056</v>
      </c>
      <c r="P135" s="2" t="inlineStr">
        <is>
          <t>ZM06</t>
        </is>
      </c>
      <c r="Q135" s="2" t="n"/>
      <c r="R135" s="28" t="n"/>
      <c r="S135" s="28" t="n"/>
      <c r="T135" s="29" t="n"/>
    </row>
    <row r="136" ht="35.1" customFormat="1" customHeight="1" s="5">
      <c r="A136" s="17" t="n">
        <v>134</v>
      </c>
      <c r="B136" s="17" t="inlineStr">
        <is>
          <t>KIPP11</t>
        </is>
      </c>
      <c r="C136" s="14" t="inlineStr">
        <is>
          <t>11LAB92CF102</t>
        </is>
      </c>
      <c r="D136" s="14" t="inlineStr">
        <is>
          <t>FW HP OTC  FITCA</t>
        </is>
      </c>
      <c r="E136" s="84" t="n"/>
      <c r="F136" s="75" t="n">
        <v>-2486.4</v>
      </c>
      <c r="G136" s="75" t="n">
        <v>2486.4</v>
      </c>
      <c r="H136" s="39" t="n">
        <v>0</v>
      </c>
      <c r="I136" s="39" t="n">
        <v>250</v>
      </c>
      <c r="J136" s="4" t="inlineStr">
        <is>
          <t>mBar</t>
        </is>
      </c>
      <c r="K136" s="33" t="inlineStr">
        <is>
          <t>ROSEMOUNT</t>
        </is>
      </c>
      <c r="L136" s="33" t="inlineStr">
        <is>
          <t>3051CD</t>
        </is>
      </c>
      <c r="M136" s="20" t="n">
        <v>9816773</v>
      </c>
      <c r="N136" s="2">
        <f>IF(E136="","Waiting","Calibrated")</f>
        <v/>
      </c>
      <c r="O136" s="2" t="n">
        <v>10297144</v>
      </c>
      <c r="P136" s="2" t="inlineStr">
        <is>
          <t>ZM06</t>
        </is>
      </c>
      <c r="Q136" s="2" t="n"/>
      <c r="R136" s="28" t="n"/>
      <c r="S136" s="28" t="n"/>
      <c r="T136" s="29" t="n"/>
    </row>
    <row r="137" ht="35.1" customFormat="1" customHeight="1" s="5">
      <c r="A137" s="17" t="n">
        <v>135</v>
      </c>
      <c r="B137" s="17" t="inlineStr">
        <is>
          <t>KIPP11</t>
        </is>
      </c>
      <c r="C137" s="14" t="inlineStr">
        <is>
          <t>11LAB96CP001</t>
        </is>
      </c>
      <c r="D137" s="14" t="inlineStr">
        <is>
          <t>HP FW PT</t>
        </is>
      </c>
      <c r="E137" s="84" t="n">
        <v>46114</v>
      </c>
      <c r="F137" s="75" t="n">
        <v>0</v>
      </c>
      <c r="G137" s="75" t="n">
        <v>289.3</v>
      </c>
      <c r="H137" s="39" t="n">
        <v>0</v>
      </c>
      <c r="I137" s="39" t="n">
        <v>300</v>
      </c>
      <c r="J137" s="4" t="inlineStr">
        <is>
          <t>Bar</t>
        </is>
      </c>
      <c r="K137" s="19" t="inlineStr">
        <is>
          <t>ROSEMOUNT</t>
        </is>
      </c>
      <c r="L137" s="19" t="inlineStr">
        <is>
          <t>2051 PT</t>
        </is>
      </c>
      <c r="M137" s="20" t="n">
        <v>210424</v>
      </c>
      <c r="N137" s="2">
        <f>IF(E137="","Waiting","Calibrated")</f>
        <v/>
      </c>
      <c r="O137" s="2" t="n">
        <v>10297163</v>
      </c>
      <c r="P137" s="2" t="inlineStr">
        <is>
          <t>ZM06</t>
        </is>
      </c>
      <c r="Q137" s="2" t="inlineStr">
        <is>
          <t>OK</t>
        </is>
      </c>
      <c r="R137" s="28" t="n"/>
      <c r="S137" s="28" t="n"/>
      <c r="T137" s="29" t="n"/>
    </row>
    <row r="138" ht="35.1" customFormat="1" customHeight="1" s="5">
      <c r="A138" s="17" t="n">
        <v>136</v>
      </c>
      <c r="B138" s="17" t="inlineStr">
        <is>
          <t>KIPP11</t>
        </is>
      </c>
      <c r="C138" s="14" t="inlineStr">
        <is>
          <t>11LAE50CF002</t>
        </is>
      </c>
      <c r="D138" s="14" t="inlineStr">
        <is>
          <t>HP DESUPERHEATER SPRAY FT 1</t>
        </is>
      </c>
      <c r="E138" s="84" t="n">
        <v>46113</v>
      </c>
      <c r="F138" s="75" t="n">
        <v>-621.6</v>
      </c>
      <c r="G138" s="75" t="n">
        <v>621.6</v>
      </c>
      <c r="H138" s="40" t="n">
        <v>0</v>
      </c>
      <c r="I138" s="40" t="n">
        <v>524</v>
      </c>
      <c r="J138" s="4" t="inlineStr">
        <is>
          <t>mBar</t>
        </is>
      </c>
      <c r="K138" s="19" t="inlineStr">
        <is>
          <t>ROSEMOUNT</t>
        </is>
      </c>
      <c r="L138" s="19" t="inlineStr">
        <is>
          <t>2051 PT</t>
        </is>
      </c>
      <c r="M138" s="19" t="n">
        <v>214454</v>
      </c>
      <c r="N138" s="2">
        <f>IF(E138="","Waiting","Calibrated")</f>
        <v/>
      </c>
      <c r="O138" s="2" t="n">
        <v>10297207</v>
      </c>
      <c r="P138" s="2" t="inlineStr">
        <is>
          <t>ZM06</t>
        </is>
      </c>
      <c r="Q138" s="2" t="inlineStr">
        <is>
          <t>OK</t>
        </is>
      </c>
      <c r="R138" s="28" t="n"/>
      <c r="S138" s="28" t="n"/>
      <c r="T138" s="29" t="n"/>
    </row>
    <row r="139" ht="35.1" customFormat="1" customHeight="1" s="5">
      <c r="A139" s="17" t="n">
        <v>137</v>
      </c>
      <c r="B139" s="17" t="inlineStr">
        <is>
          <t>KIPP11</t>
        </is>
      </c>
      <c r="C139" s="14" t="inlineStr">
        <is>
          <t>11LAE50CF003</t>
        </is>
      </c>
      <c r="D139" s="14" t="inlineStr">
        <is>
          <t>HP DESUPERHEATER SPRAY FT 2</t>
        </is>
      </c>
      <c r="E139" s="84" t="n">
        <v>46113</v>
      </c>
      <c r="F139" s="75" t="n">
        <v>-621.6</v>
      </c>
      <c r="G139" s="75" t="n">
        <v>621.6</v>
      </c>
      <c r="H139" s="40" t="n">
        <v>0</v>
      </c>
      <c r="I139" s="40" t="n">
        <v>524</v>
      </c>
      <c r="J139" s="4" t="inlineStr">
        <is>
          <t>mBar</t>
        </is>
      </c>
      <c r="K139" s="19" t="inlineStr">
        <is>
          <t>ROSEMOUNT</t>
        </is>
      </c>
      <c r="L139" s="19" t="inlineStr">
        <is>
          <t>2051 PT</t>
        </is>
      </c>
      <c r="M139" s="19" t="n">
        <v>214455</v>
      </c>
      <c r="N139" s="2">
        <f>IF(E139="","Waiting","Calibrated")</f>
        <v/>
      </c>
      <c r="O139" s="2" t="n">
        <v>10297266</v>
      </c>
      <c r="P139" s="2" t="inlineStr">
        <is>
          <t>ZM06</t>
        </is>
      </c>
      <c r="Q139" s="2" t="inlineStr">
        <is>
          <t>OK</t>
        </is>
      </c>
      <c r="R139" s="28" t="n"/>
      <c r="S139" s="28" t="n"/>
      <c r="T139" s="29" t="n"/>
    </row>
    <row r="140" ht="35.1" customFormat="1" customHeight="1" s="5">
      <c r="A140" s="17" t="n">
        <v>138</v>
      </c>
      <c r="B140" s="17" t="inlineStr">
        <is>
          <t>KIPP11</t>
        </is>
      </c>
      <c r="C140" s="14" t="inlineStr">
        <is>
          <t>11LAF40CF002</t>
        </is>
      </c>
      <c r="D140" s="14" t="inlineStr">
        <is>
          <t>RH DESUPERHEATER SPRAY FT 1</t>
        </is>
      </c>
      <c r="E140" s="84" t="n">
        <v>46113</v>
      </c>
      <c r="F140" s="75" t="n">
        <v>-621.6</v>
      </c>
      <c r="G140" s="75" t="n">
        <v>621.6</v>
      </c>
      <c r="H140" s="40" t="n">
        <v>0</v>
      </c>
      <c r="I140" s="40" t="n">
        <v>322</v>
      </c>
      <c r="J140" s="4" t="inlineStr">
        <is>
          <t>mBar</t>
        </is>
      </c>
      <c r="K140" s="19" t="inlineStr">
        <is>
          <t>YOKOGAWA</t>
        </is>
      </c>
      <c r="L140" s="19" t="inlineStr">
        <is>
          <t>EJA110E</t>
        </is>
      </c>
      <c r="M140" s="19" t="inlineStr">
        <is>
          <t>91S313058</t>
        </is>
      </c>
      <c r="N140" s="2">
        <f>IF(E140="","Waiting","Calibrated")</f>
        <v/>
      </c>
      <c r="O140" s="2" t="n">
        <v>10297267</v>
      </c>
      <c r="P140" s="2" t="inlineStr">
        <is>
          <t>ZM06</t>
        </is>
      </c>
      <c r="Q140" s="2" t="inlineStr">
        <is>
          <t>OK</t>
        </is>
      </c>
      <c r="R140" s="28" t="n"/>
      <c r="S140" s="28" t="n"/>
      <c r="T140" s="29" t="n"/>
    </row>
    <row r="141" ht="35.1" customFormat="1" customHeight="1" s="5">
      <c r="A141" s="17" t="n">
        <v>139</v>
      </c>
      <c r="B141" s="17" t="inlineStr">
        <is>
          <t>KIPP11</t>
        </is>
      </c>
      <c r="C141" s="14" t="inlineStr">
        <is>
          <t>11LAF40CF003</t>
        </is>
      </c>
      <c r="D141" s="14" t="inlineStr">
        <is>
          <t>RH DESUPERHEATER SPRAY FT 2</t>
        </is>
      </c>
      <c r="E141" s="84" t="n">
        <v>46113</v>
      </c>
      <c r="F141" s="75" t="n">
        <v>-621.6</v>
      </c>
      <c r="G141" s="75" t="n">
        <v>621.6</v>
      </c>
      <c r="H141" s="40" t="n">
        <v>0</v>
      </c>
      <c r="I141" s="40" t="n">
        <v>322</v>
      </c>
      <c r="J141" s="4" t="inlineStr">
        <is>
          <t>mBar</t>
        </is>
      </c>
      <c r="K141" s="19" t="inlineStr">
        <is>
          <t>ROSEMOUNT</t>
        </is>
      </c>
      <c r="L141" s="19" t="inlineStr">
        <is>
          <t>2051 PT</t>
        </is>
      </c>
      <c r="M141" s="19" t="n">
        <v>214469</v>
      </c>
      <c r="N141" s="2">
        <f>IF(E141="","Waiting","Calibrated")</f>
        <v/>
      </c>
      <c r="O141" s="2" t="n">
        <v>10297268</v>
      </c>
      <c r="P141" s="2" t="inlineStr">
        <is>
          <t>ZM06</t>
        </is>
      </c>
      <c r="Q141" s="2" t="inlineStr">
        <is>
          <t>OK</t>
        </is>
      </c>
      <c r="R141" s="28" t="n"/>
      <c r="S141" s="28" t="n"/>
      <c r="T141" s="29" t="n"/>
    </row>
    <row r="142" ht="35.1" customFormat="1" customHeight="1" s="5">
      <c r="A142" s="17" t="n">
        <v>140</v>
      </c>
      <c r="B142" s="17" t="inlineStr">
        <is>
          <t>KIPP11</t>
        </is>
      </c>
      <c r="C142" s="14" t="inlineStr">
        <is>
          <t>11LBA00CP101</t>
        </is>
      </c>
      <c r="D142" s="14" t="inlineStr">
        <is>
          <t>HP STEAM PRESSURE</t>
        </is>
      </c>
      <c r="E142" s="84" t="n">
        <v>46098</v>
      </c>
      <c r="F142" s="75" t="n">
        <v>-1</v>
      </c>
      <c r="G142" s="75" t="n">
        <v>500</v>
      </c>
      <c r="H142" s="39" t="n">
        <v>0</v>
      </c>
      <c r="I142" s="39" t="n">
        <v>151</v>
      </c>
      <c r="J142" s="4" t="inlineStr">
        <is>
          <t>Bar</t>
        </is>
      </c>
      <c r="K142" s="19" t="inlineStr">
        <is>
          <t>YOKOGAWA</t>
        </is>
      </c>
      <c r="L142" s="19" t="inlineStr">
        <is>
          <t>EJA530E</t>
        </is>
      </c>
      <c r="M142" s="19" t="inlineStr">
        <is>
          <t>91S313315</t>
        </is>
      </c>
      <c r="N142" s="2">
        <f>IF(E142="","Waiting","Calibrated")</f>
        <v/>
      </c>
      <c r="O142" s="2" t="n">
        <v>10300500</v>
      </c>
      <c r="P142" s="2" t="inlineStr">
        <is>
          <t>ZM06</t>
        </is>
      </c>
      <c r="Q142" s="2" t="inlineStr">
        <is>
          <t>OK</t>
        </is>
      </c>
      <c r="R142" s="28" t="n"/>
      <c r="S142" s="28" t="n"/>
      <c r="T142" s="29" t="inlineStr">
        <is>
          <t>Set:2,2 - Reset: 1,99</t>
        </is>
      </c>
    </row>
    <row r="143" ht="35.1" customFormat="1" customHeight="1" s="5">
      <c r="A143" s="17" t="n">
        <v>141</v>
      </c>
      <c r="B143" s="17" t="inlineStr">
        <is>
          <t>KIPP11</t>
        </is>
      </c>
      <c r="C143" s="14" t="inlineStr">
        <is>
          <t>11LBA10CF002</t>
        </is>
      </c>
      <c r="D143" s="14" t="inlineStr">
        <is>
          <t>LP STEAM O/L FT 1</t>
        </is>
      </c>
      <c r="E143" s="84" t="n">
        <v>46097</v>
      </c>
      <c r="F143" s="75" t="n">
        <v>-621.6</v>
      </c>
      <c r="G143" s="75" t="n">
        <v>621.6</v>
      </c>
      <c r="H143" s="40" t="n">
        <v>0</v>
      </c>
      <c r="I143" s="40" t="n">
        <v>115</v>
      </c>
      <c r="J143" s="4" t="inlineStr">
        <is>
          <t>mBar</t>
        </is>
      </c>
      <c r="K143" s="19" t="inlineStr">
        <is>
          <t>ROSEMOUNT</t>
        </is>
      </c>
      <c r="L143" s="19" t="inlineStr">
        <is>
          <t>2051 PT</t>
        </is>
      </c>
      <c r="M143" s="19" t="n">
        <v>214474</v>
      </c>
      <c r="N143" s="2">
        <f>IF(E143="","Waiting","Calibrated")</f>
        <v/>
      </c>
      <c r="O143" s="2" t="n">
        <v>10297306</v>
      </c>
      <c r="P143" s="2" t="inlineStr">
        <is>
          <t>ZM06</t>
        </is>
      </c>
      <c r="Q143" s="2" t="inlineStr">
        <is>
          <t>OK</t>
        </is>
      </c>
      <c r="R143" s="28" t="n"/>
      <c r="S143" s="28" t="n"/>
      <c r="T143" s="29" t="n"/>
    </row>
    <row r="144" ht="35.1" customFormat="1" customHeight="1" s="5">
      <c r="A144" s="17" t="n">
        <v>142</v>
      </c>
      <c r="B144" s="17" t="inlineStr">
        <is>
          <t>KIPP11</t>
        </is>
      </c>
      <c r="C144" s="14" t="inlineStr">
        <is>
          <t>11LBA10CF003</t>
        </is>
      </c>
      <c r="D144" s="14" t="inlineStr">
        <is>
          <t>LP STEAM O/L FT 2</t>
        </is>
      </c>
      <c r="E144" s="84" t="n">
        <v>46097</v>
      </c>
      <c r="F144" s="75" t="n">
        <v>-621.6</v>
      </c>
      <c r="G144" s="75" t="n">
        <v>621.6</v>
      </c>
      <c r="H144" s="40" t="n">
        <v>0</v>
      </c>
      <c r="I144" s="40" t="n">
        <v>115</v>
      </c>
      <c r="J144" s="4" t="inlineStr">
        <is>
          <t>mBar</t>
        </is>
      </c>
      <c r="K144" s="19" t="inlineStr">
        <is>
          <t>ROSEMOUNT</t>
        </is>
      </c>
      <c r="L144" s="19" t="inlineStr">
        <is>
          <t>2051 PT</t>
        </is>
      </c>
      <c r="M144" s="19" t="n">
        <v>214475</v>
      </c>
      <c r="N144" s="2">
        <f>IF(E144="","Waiting","Calibrated")</f>
        <v/>
      </c>
      <c r="O144" s="2" t="n">
        <v>10297307</v>
      </c>
      <c r="P144" s="2" t="inlineStr">
        <is>
          <t>ZM06</t>
        </is>
      </c>
      <c r="Q144" s="2" t="inlineStr">
        <is>
          <t>OK</t>
        </is>
      </c>
      <c r="R144" s="28" t="n"/>
      <c r="S144" s="28" t="n"/>
      <c r="T144" s="29" t="n"/>
    </row>
    <row r="145" ht="35.1" customFormat="1" customHeight="1" s="5">
      <c r="A145" s="17" t="n">
        <v>143</v>
      </c>
      <c r="B145" s="17" t="inlineStr">
        <is>
          <t>KIPP11</t>
        </is>
      </c>
      <c r="C145" s="14" t="inlineStr">
        <is>
          <t>11LBA10CP001</t>
        </is>
      </c>
      <c r="D145" s="14" t="inlineStr">
        <is>
          <t>LP STEAM PRESSURE</t>
        </is>
      </c>
      <c r="E145" s="84" t="n">
        <v>46105</v>
      </c>
      <c r="F145" s="75" t="n">
        <v>-1</v>
      </c>
      <c r="G145" s="75" t="n">
        <v>55.16</v>
      </c>
      <c r="H145" s="39" t="n">
        <v>0</v>
      </c>
      <c r="I145" s="39" t="n">
        <v>15</v>
      </c>
      <c r="J145" s="4" t="inlineStr">
        <is>
          <t>Bar</t>
        </is>
      </c>
      <c r="K145" s="19" t="inlineStr">
        <is>
          <t>ROSEMOUNT</t>
        </is>
      </c>
      <c r="L145" s="19" t="inlineStr">
        <is>
          <t>2051 PT</t>
        </is>
      </c>
      <c r="M145" s="20" t="n">
        <v>210437</v>
      </c>
      <c r="N145" s="2">
        <f>IF(E145="","Waiting","Calibrated")</f>
        <v/>
      </c>
      <c r="O145" s="2" t="n">
        <v>10297308</v>
      </c>
      <c r="P145" s="2" t="inlineStr">
        <is>
          <t>ZM06</t>
        </is>
      </c>
      <c r="Q145" s="2" t="inlineStr">
        <is>
          <t>OK</t>
        </is>
      </c>
      <c r="R145" s="28" t="n"/>
      <c r="S145" s="28" t="n"/>
      <c r="T145" s="29" t="n"/>
    </row>
    <row r="146" ht="35.1" customFormat="1" customHeight="1" s="5">
      <c r="A146" s="17" t="n">
        <v>144</v>
      </c>
      <c r="B146" s="17" t="inlineStr">
        <is>
          <t>KIPP11</t>
        </is>
      </c>
      <c r="C146" s="14" t="inlineStr">
        <is>
          <t>11LBA20CP101</t>
        </is>
      </c>
      <c r="D146" s="14" t="inlineStr">
        <is>
          <t>HP BYPASS VALVE OUTLET PRESSURE A</t>
        </is>
      </c>
      <c r="E146" s="84" t="n">
        <v>46098</v>
      </c>
      <c r="F146" s="75" t="n">
        <v>-1</v>
      </c>
      <c r="G146" s="75" t="n">
        <v>100</v>
      </c>
      <c r="H146" s="39" t="n">
        <v>0</v>
      </c>
      <c r="I146" s="39" t="n">
        <v>43</v>
      </c>
      <c r="J146" s="4" t="inlineStr">
        <is>
          <t>Bar</t>
        </is>
      </c>
      <c r="K146" s="19" t="inlineStr">
        <is>
          <t>YOKOGAWA</t>
        </is>
      </c>
      <c r="L146" s="19" t="inlineStr">
        <is>
          <t>EJA530E</t>
        </is>
      </c>
      <c r="M146" s="19" t="inlineStr">
        <is>
          <t>91S313282</t>
        </is>
      </c>
      <c r="N146" s="2">
        <f>IF(E146="","Waiting","Calibrated")</f>
        <v/>
      </c>
      <c r="O146" s="2" t="n">
        <v>10298707</v>
      </c>
      <c r="P146" s="2" t="inlineStr">
        <is>
          <t>ZM06</t>
        </is>
      </c>
      <c r="Q146" s="2" t="inlineStr">
        <is>
          <t>OK</t>
        </is>
      </c>
      <c r="R146" s="28" t="n"/>
      <c r="S146" s="28" t="n"/>
      <c r="T146" s="29" t="n"/>
    </row>
    <row r="147" ht="35.1" customFormat="1" customHeight="1" s="5">
      <c r="A147" s="17" t="n">
        <v>145</v>
      </c>
      <c r="B147" s="17" t="inlineStr">
        <is>
          <t>KIPP11</t>
        </is>
      </c>
      <c r="C147" s="14" t="inlineStr">
        <is>
          <t>11LBA20CP102</t>
        </is>
      </c>
      <c r="D147" s="14" t="inlineStr">
        <is>
          <t>HP BYPASS VALVE OUTLET PRESSURE B</t>
        </is>
      </c>
      <c r="E147" s="84" t="n">
        <v>46098</v>
      </c>
      <c r="F147" s="75" t="n">
        <v>-1</v>
      </c>
      <c r="G147" s="75" t="n">
        <v>100</v>
      </c>
      <c r="H147" s="39" t="n">
        <v>0</v>
      </c>
      <c r="I147" s="39" t="n">
        <v>43</v>
      </c>
      <c r="J147" s="4" t="inlineStr">
        <is>
          <t>Bar</t>
        </is>
      </c>
      <c r="K147" s="19" t="inlineStr">
        <is>
          <t>YOKOGAWA</t>
        </is>
      </c>
      <c r="L147" s="19" t="inlineStr">
        <is>
          <t>EJA530E</t>
        </is>
      </c>
      <c r="M147" s="19" t="inlineStr">
        <is>
          <t>91S313283</t>
        </is>
      </c>
      <c r="N147" s="2">
        <f>IF(E147="","Waiting","Calibrated")</f>
        <v/>
      </c>
      <c r="O147" s="2" t="n">
        <v>10299767</v>
      </c>
      <c r="P147" s="2" t="inlineStr">
        <is>
          <t>ZM06</t>
        </is>
      </c>
      <c r="Q147" s="2" t="inlineStr">
        <is>
          <t>OK</t>
        </is>
      </c>
      <c r="R147" s="28" t="n"/>
      <c r="S147" s="28" t="n"/>
      <c r="T147" s="29" t="n"/>
    </row>
    <row r="148" ht="35.1" customFormat="1" customHeight="1" s="5">
      <c r="A148" s="17" t="n">
        <v>146</v>
      </c>
      <c r="B148" s="17" t="inlineStr">
        <is>
          <t>KIPP11</t>
        </is>
      </c>
      <c r="C148" s="14" t="inlineStr">
        <is>
          <t>11LBA30CF002</t>
        </is>
      </c>
      <c r="D148" s="14" t="inlineStr">
        <is>
          <t>IP STEAM O/L FT 1</t>
        </is>
      </c>
      <c r="E148" s="84" t="n"/>
      <c r="F148" s="75" t="n">
        <v>-621.6</v>
      </c>
      <c r="G148" s="75" t="n">
        <v>621.6</v>
      </c>
      <c r="H148" s="40" t="n">
        <v>0</v>
      </c>
      <c r="I148" s="40" t="n">
        <v>322</v>
      </c>
      <c r="J148" s="4" t="inlineStr">
        <is>
          <t>mBar</t>
        </is>
      </c>
      <c r="K148" s="19" t="inlineStr">
        <is>
          <t>ROSEMOUNT</t>
        </is>
      </c>
      <c r="L148" s="19" t="inlineStr">
        <is>
          <t>2051 PT</t>
        </is>
      </c>
      <c r="M148" s="19" t="n">
        <v>214470</v>
      </c>
      <c r="N148" s="2">
        <f>IF(E148="","Waiting","Calibrated")</f>
        <v/>
      </c>
      <c r="O148" s="2" t="n">
        <v>10299768</v>
      </c>
      <c r="P148" s="2" t="inlineStr">
        <is>
          <t>ZM06</t>
        </is>
      </c>
      <c r="Q148" s="2" t="inlineStr">
        <is>
          <t>OK</t>
        </is>
      </c>
      <c r="R148" s="28" t="n"/>
      <c r="S148" s="28" t="n"/>
      <c r="T148" s="29" t="n"/>
    </row>
    <row r="149" ht="35.1" customFormat="1" customHeight="1" s="5">
      <c r="A149" s="17" t="n">
        <v>147</v>
      </c>
      <c r="B149" s="17" t="inlineStr">
        <is>
          <t>KIPP11</t>
        </is>
      </c>
      <c r="C149" s="14" t="inlineStr">
        <is>
          <t>11LBA30CF003</t>
        </is>
      </c>
      <c r="D149" s="14" t="inlineStr">
        <is>
          <t>IP STEAM O/L FT 2</t>
        </is>
      </c>
      <c r="E149" s="84" t="n"/>
      <c r="F149" s="75" t="n">
        <v>-621.6</v>
      </c>
      <c r="G149" s="75" t="n">
        <v>621.6</v>
      </c>
      <c r="H149" s="40" t="n">
        <v>0</v>
      </c>
      <c r="I149" s="40" t="n">
        <v>322</v>
      </c>
      <c r="J149" s="4" t="inlineStr">
        <is>
          <t>mBar</t>
        </is>
      </c>
      <c r="K149" s="19" t="inlineStr">
        <is>
          <t>ROSEMOUNT</t>
        </is>
      </c>
      <c r="L149" s="19" t="inlineStr">
        <is>
          <t>2051 PT</t>
        </is>
      </c>
      <c r="M149" s="19" t="n">
        <v>214471</v>
      </c>
      <c r="N149" s="2">
        <f>IF(E149="","Waiting","Calibrated")</f>
        <v/>
      </c>
      <c r="O149" s="2" t="n">
        <v>10299769</v>
      </c>
      <c r="P149" s="2" t="inlineStr">
        <is>
          <t>ZM06</t>
        </is>
      </c>
      <c r="Q149" s="2" t="inlineStr">
        <is>
          <t>OK</t>
        </is>
      </c>
      <c r="R149" s="28" t="n"/>
      <c r="S149" s="28" t="n"/>
      <c r="T149" s="29" t="n"/>
    </row>
    <row r="150" ht="35.1" customFormat="1" customHeight="1" s="5">
      <c r="A150" s="17" t="n">
        <v>148</v>
      </c>
      <c r="B150" s="17" t="inlineStr">
        <is>
          <t>KIPP11</t>
        </is>
      </c>
      <c r="C150" s="14" t="inlineStr">
        <is>
          <t>11LBA30CP001</t>
        </is>
      </c>
      <c r="D150" s="14" t="inlineStr">
        <is>
          <t>IP STEAM O/L PT</t>
        </is>
      </c>
      <c r="E150" s="84" t="n"/>
      <c r="F150" s="75" t="n">
        <v>-1.01</v>
      </c>
      <c r="G150" s="75" t="n">
        <v>275.79</v>
      </c>
      <c r="H150" s="39" t="n">
        <v>0</v>
      </c>
      <c r="I150" s="39" t="n">
        <v>60</v>
      </c>
      <c r="J150" s="4" t="inlineStr">
        <is>
          <t>Bar</t>
        </is>
      </c>
      <c r="K150" s="19" t="inlineStr">
        <is>
          <t>ROSEMOUNT</t>
        </is>
      </c>
      <c r="L150" s="19" t="inlineStr">
        <is>
          <t>2051 PT</t>
        </is>
      </c>
      <c r="M150" s="20" t="n">
        <v>210431</v>
      </c>
      <c r="N150" s="2">
        <f>IF(E150="","Waiting","Calibrated")</f>
        <v/>
      </c>
      <c r="O150" s="2" t="n"/>
      <c r="P150" s="2" t="n"/>
      <c r="Q150" s="2" t="inlineStr">
        <is>
          <t>OK</t>
        </is>
      </c>
      <c r="R150" s="28" t="n"/>
      <c r="S150" s="28" t="n"/>
      <c r="T150" s="29" t="n"/>
    </row>
    <row r="151" ht="35.1" customFormat="1" customHeight="1" s="5">
      <c r="A151" s="17" t="n">
        <v>149</v>
      </c>
      <c r="B151" s="17" t="inlineStr">
        <is>
          <t>KIPP11</t>
        </is>
      </c>
      <c r="C151" s="14" t="inlineStr">
        <is>
          <t>11LBA31CP101</t>
        </is>
      </c>
      <c r="D151" s="14" t="inlineStr">
        <is>
          <t>LP STEAM PT</t>
        </is>
      </c>
      <c r="E151" s="84" t="n">
        <v>46105</v>
      </c>
      <c r="F151" s="75" t="n">
        <v>-1</v>
      </c>
      <c r="G151" s="75" t="n">
        <v>20</v>
      </c>
      <c r="H151" s="39" t="n">
        <v>0</v>
      </c>
      <c r="I151" s="39" t="n">
        <v>10</v>
      </c>
      <c r="J151" s="4" t="inlineStr">
        <is>
          <t>Bar</t>
        </is>
      </c>
      <c r="K151" s="19" t="inlineStr">
        <is>
          <t>YOKOGAWA</t>
        </is>
      </c>
      <c r="L151" s="19" t="inlineStr">
        <is>
          <t>EJA530E</t>
        </is>
      </c>
      <c r="M151" s="19" t="inlineStr">
        <is>
          <t>91S313226</t>
        </is>
      </c>
      <c r="N151" s="2">
        <f>IF(E151="","Waiting","Calibrated")</f>
        <v/>
      </c>
      <c r="O151" s="2" t="n"/>
      <c r="P151" s="2" t="n"/>
      <c r="Q151" s="2" t="inlineStr">
        <is>
          <t>OK</t>
        </is>
      </c>
      <c r="R151" s="28" t="n"/>
      <c r="S151" s="28" t="n"/>
      <c r="T151" s="29" t="n"/>
    </row>
    <row r="152" ht="35.1" customFormat="1" customHeight="1" s="5">
      <c r="A152" s="17" t="n">
        <v>150</v>
      </c>
      <c r="B152" s="17" t="inlineStr">
        <is>
          <t>KIPP11</t>
        </is>
      </c>
      <c r="C152" s="14" t="inlineStr">
        <is>
          <t>11LBA40CP101</t>
        </is>
      </c>
      <c r="D152" s="14" t="inlineStr">
        <is>
          <t>LP STEAM BYPASS VALVE OUTLET PT</t>
        </is>
      </c>
      <c r="E152" s="84" t="n">
        <v>46104</v>
      </c>
      <c r="F152" s="75" t="n">
        <v>-1</v>
      </c>
      <c r="G152" s="75" t="n">
        <v>20</v>
      </c>
      <c r="H152" s="39" t="n">
        <v>0</v>
      </c>
      <c r="I152" s="39" t="n">
        <v>4</v>
      </c>
      <c r="J152" s="4" t="inlineStr">
        <is>
          <t>Bar</t>
        </is>
      </c>
      <c r="K152" s="19" t="inlineStr">
        <is>
          <t>YOKOGAWA</t>
        </is>
      </c>
      <c r="L152" s="19" t="inlineStr">
        <is>
          <t>EJA530E</t>
        </is>
      </c>
      <c r="M152" s="19" t="inlineStr">
        <is>
          <t>91S313227</t>
        </is>
      </c>
      <c r="N152" s="2">
        <f>IF(E152="","Waiting","Calibrated")</f>
        <v/>
      </c>
      <c r="O152" s="2" t="n"/>
      <c r="P152" s="2" t="n"/>
      <c r="Q152" s="2" t="inlineStr">
        <is>
          <t>OK</t>
        </is>
      </c>
      <c r="R152" s="28" t="n"/>
      <c r="S152" s="28" t="n"/>
      <c r="T152" s="29" t="n"/>
    </row>
    <row r="153" ht="35.1" customFormat="1" customHeight="1" s="5">
      <c r="A153" s="17" t="n">
        <v>151</v>
      </c>
      <c r="B153" s="17" t="inlineStr">
        <is>
          <t>KIPP11</t>
        </is>
      </c>
      <c r="C153" s="14" t="inlineStr">
        <is>
          <t>11LBA40CP102</t>
        </is>
      </c>
      <c r="D153" s="14" t="inlineStr">
        <is>
          <t>LP STEAM BYPASS VALVE OUTLET PT</t>
        </is>
      </c>
      <c r="E153" s="84" t="n">
        <v>46104</v>
      </c>
      <c r="F153" s="75" t="n">
        <v>-1</v>
      </c>
      <c r="G153" s="75" t="n">
        <v>20</v>
      </c>
      <c r="H153" s="39" t="n">
        <v>0</v>
      </c>
      <c r="I153" s="39" t="n">
        <v>4</v>
      </c>
      <c r="J153" s="4" t="inlineStr">
        <is>
          <t>Bar</t>
        </is>
      </c>
      <c r="K153" s="19" t="inlineStr">
        <is>
          <t>YOKOGAWA</t>
        </is>
      </c>
      <c r="L153" s="19" t="inlineStr">
        <is>
          <t>EJA530E</t>
        </is>
      </c>
      <c r="M153" s="19" t="inlineStr">
        <is>
          <t>91S313228</t>
        </is>
      </c>
      <c r="N153" s="2">
        <f>IF(E153="","Waiting","Calibrated")</f>
        <v/>
      </c>
      <c r="O153" s="2" t="n"/>
      <c r="P153" s="2" t="n"/>
      <c r="Q153" s="2" t="inlineStr">
        <is>
          <t>OK</t>
        </is>
      </c>
      <c r="R153" s="28" t="n"/>
      <c r="S153" s="28" t="n"/>
      <c r="T153" s="29" t="n"/>
    </row>
    <row r="154" ht="35.1" customFormat="1" customHeight="1" s="5">
      <c r="A154" s="17" t="n">
        <v>152</v>
      </c>
      <c r="B154" s="17" t="inlineStr">
        <is>
          <t>KIPP11</t>
        </is>
      </c>
      <c r="C154" s="14" t="inlineStr">
        <is>
          <t>11LBA50CF002</t>
        </is>
      </c>
      <c r="D154" s="14" t="inlineStr">
        <is>
          <t>HP STEAM O/L FT 1</t>
        </is>
      </c>
      <c r="E154" s="84" t="n">
        <v>46114</v>
      </c>
      <c r="F154" s="75" t="n">
        <v>-2486</v>
      </c>
      <c r="G154" s="75" t="n">
        <v>2486</v>
      </c>
      <c r="H154" s="40" t="n">
        <v>0</v>
      </c>
      <c r="I154" s="40" t="n">
        <v>1600</v>
      </c>
      <c r="J154" s="4" t="inlineStr">
        <is>
          <t>mBar</t>
        </is>
      </c>
      <c r="K154" s="19" t="inlineStr">
        <is>
          <t>ROSEMOUNT</t>
        </is>
      </c>
      <c r="L154" s="19" t="inlineStr">
        <is>
          <t>2051 PT</t>
        </is>
      </c>
      <c r="M154" s="19" t="n">
        <v>214456</v>
      </c>
      <c r="N154" s="2">
        <f>IF(E154="","Waiting","Calibrated")</f>
        <v/>
      </c>
      <c r="O154" s="2" t="n"/>
      <c r="P154" s="2" t="n"/>
      <c r="Q154" s="2" t="inlineStr">
        <is>
          <t>OK</t>
        </is>
      </c>
      <c r="R154" s="28" t="n"/>
      <c r="S154" s="28" t="n"/>
      <c r="T154" s="29" t="n"/>
    </row>
    <row r="155" ht="35.1" customFormat="1" customHeight="1" s="5">
      <c r="A155" s="17" t="n">
        <v>153</v>
      </c>
      <c r="B155" s="17" t="inlineStr">
        <is>
          <t>KIPP11</t>
        </is>
      </c>
      <c r="C155" s="14" t="inlineStr">
        <is>
          <t>11LBA50CF003</t>
        </is>
      </c>
      <c r="D155" s="14" t="inlineStr">
        <is>
          <t>HP STEAM O/L FT 2</t>
        </is>
      </c>
      <c r="E155" s="84" t="n">
        <v>46114</v>
      </c>
      <c r="F155" s="75" t="n">
        <v>-2486</v>
      </c>
      <c r="G155" s="75" t="n">
        <v>2486</v>
      </c>
      <c r="H155" s="40" t="n">
        <v>0</v>
      </c>
      <c r="I155" s="40" t="n">
        <v>1600</v>
      </c>
      <c r="J155" s="4" t="inlineStr">
        <is>
          <t>mBar</t>
        </is>
      </c>
      <c r="K155" s="19" t="inlineStr">
        <is>
          <t>ROSEMOUNT</t>
        </is>
      </c>
      <c r="L155" s="19" t="inlineStr">
        <is>
          <t>2051 PT</t>
        </is>
      </c>
      <c r="M155" s="19" t="n">
        <v>214457</v>
      </c>
      <c r="N155" s="2">
        <f>IF(E155="","Waiting","Calibrated")</f>
        <v/>
      </c>
      <c r="O155" s="2" t="n"/>
      <c r="P155" s="2" t="n"/>
      <c r="Q155" s="2" t="inlineStr">
        <is>
          <t>OK</t>
        </is>
      </c>
      <c r="R155" s="28" t="n"/>
      <c r="S155" s="28" t="n"/>
      <c r="T155" s="29" t="n"/>
    </row>
    <row r="156" ht="35.1" customFormat="1" customHeight="1" s="5">
      <c r="A156" s="17" t="n">
        <v>154</v>
      </c>
      <c r="B156" s="17" t="inlineStr">
        <is>
          <t>KIPP11</t>
        </is>
      </c>
      <c r="C156" s="14" t="inlineStr">
        <is>
          <t>11LBA50CP001</t>
        </is>
      </c>
      <c r="D156" s="14" t="inlineStr">
        <is>
          <t>HP STEAM PT</t>
        </is>
      </c>
      <c r="E156" s="84" t="n">
        <v>46114</v>
      </c>
      <c r="F156" s="75" t="n">
        <v>0</v>
      </c>
      <c r="G156" s="75" t="n">
        <v>689.5</v>
      </c>
      <c r="H156" s="39" t="n">
        <v>0</v>
      </c>
      <c r="I156" s="39" t="n">
        <v>200</v>
      </c>
      <c r="J156" s="4" t="inlineStr">
        <is>
          <t>Bar</t>
        </is>
      </c>
      <c r="K156" s="19" t="inlineStr">
        <is>
          <t>ROSEMOUNT</t>
        </is>
      </c>
      <c r="L156" s="19" t="inlineStr">
        <is>
          <t>2051 PT</t>
        </is>
      </c>
      <c r="M156" s="20" t="n">
        <v>210425</v>
      </c>
      <c r="N156" s="2">
        <f>IF(E156="","Waiting","Calibrated")</f>
        <v/>
      </c>
      <c r="O156" s="2" t="n"/>
      <c r="P156" s="2" t="n"/>
      <c r="Q156" s="2" t="inlineStr">
        <is>
          <t>OK</t>
        </is>
      </c>
      <c r="R156" s="28" t="n"/>
      <c r="S156" s="28" t="n"/>
      <c r="T156" s="29" t="n"/>
    </row>
    <row r="157" ht="35.1" customFormat="1" customHeight="1" s="5">
      <c r="A157" s="17" t="n">
        <v>155</v>
      </c>
      <c r="B157" s="17" t="inlineStr">
        <is>
          <t>KIPP11</t>
        </is>
      </c>
      <c r="C157" s="14" t="inlineStr">
        <is>
          <t>11LBB00CP101</t>
        </is>
      </c>
      <c r="D157" s="14" t="inlineStr">
        <is>
          <t>HOT REHEAT STEAM PT</t>
        </is>
      </c>
      <c r="E157" s="84" t="n">
        <v>46098</v>
      </c>
      <c r="F157" s="75" t="n">
        <v>-1</v>
      </c>
      <c r="G157" s="75" t="n">
        <v>100</v>
      </c>
      <c r="H157" s="39" t="n">
        <v>0</v>
      </c>
      <c r="I157" s="39" t="n">
        <v>50</v>
      </c>
      <c r="J157" s="4" t="inlineStr">
        <is>
          <t>Bar</t>
        </is>
      </c>
      <c r="K157" s="19" t="inlineStr">
        <is>
          <t>YOKOGAWA</t>
        </is>
      </c>
      <c r="L157" s="19" t="inlineStr">
        <is>
          <t>EJA530E</t>
        </is>
      </c>
      <c r="M157" s="19" t="inlineStr">
        <is>
          <t>91S313213</t>
        </is>
      </c>
      <c r="N157" s="2">
        <f>IF(E157="","Waiting","Calibrated")</f>
        <v/>
      </c>
      <c r="O157" s="2" t="n"/>
      <c r="P157" s="2" t="n"/>
      <c r="Q157" s="2" t="inlineStr">
        <is>
          <t>OK</t>
        </is>
      </c>
      <c r="R157" s="28" t="n"/>
      <c r="S157" s="28" t="n"/>
      <c r="T157" s="29" t="n"/>
    </row>
    <row r="158" ht="35.1" customFormat="1" customHeight="1" s="5">
      <c r="A158" s="17" t="n">
        <v>156</v>
      </c>
      <c r="B158" s="17" t="inlineStr">
        <is>
          <t>KIPP11</t>
        </is>
      </c>
      <c r="C158" s="14" t="inlineStr">
        <is>
          <t>11LBB20CP101</t>
        </is>
      </c>
      <c r="D158" s="14" t="inlineStr">
        <is>
          <t>HOT REHEAT STEAM BYPASS VALVE OUTLET PT</t>
        </is>
      </c>
      <c r="E158" s="84" t="n">
        <v>46104</v>
      </c>
      <c r="F158" s="75" t="n">
        <v>-1</v>
      </c>
      <c r="G158" s="75" t="n">
        <v>20</v>
      </c>
      <c r="H158" s="39" t="n">
        <v>0</v>
      </c>
      <c r="I158" s="39" t="n">
        <v>13</v>
      </c>
      <c r="J158" s="4" t="inlineStr">
        <is>
          <t>Bar</t>
        </is>
      </c>
      <c r="K158" s="19" t="inlineStr">
        <is>
          <t>YOKOGAWA</t>
        </is>
      </c>
      <c r="L158" s="19" t="inlineStr">
        <is>
          <t>EJA530E</t>
        </is>
      </c>
      <c r="M158" s="19" t="inlineStr">
        <is>
          <t>91S313222</t>
        </is>
      </c>
      <c r="N158" s="2">
        <f>IF(E158="","Waiting","Calibrated")</f>
        <v/>
      </c>
      <c r="O158" s="2" t="n"/>
      <c r="P158" s="2" t="n"/>
      <c r="Q158" s="2" t="inlineStr">
        <is>
          <t>OK</t>
        </is>
      </c>
      <c r="R158" s="28" t="n"/>
      <c r="S158" s="28" t="n"/>
      <c r="T158" s="29" t="n"/>
    </row>
    <row r="159" ht="35.1" customFormat="1" customHeight="1" s="5">
      <c r="A159" s="17" t="n">
        <v>157</v>
      </c>
      <c r="B159" s="17" t="inlineStr">
        <is>
          <t>KIPP11</t>
        </is>
      </c>
      <c r="C159" s="14" t="inlineStr">
        <is>
          <t>11LBB20CP102</t>
        </is>
      </c>
      <c r="D159" s="14" t="inlineStr">
        <is>
          <t>HOT REHEAT STEAM BYPASS VALVE OUTLET PT</t>
        </is>
      </c>
      <c r="E159" s="84" t="n">
        <v>46104</v>
      </c>
      <c r="F159" s="75" t="n">
        <v>-1</v>
      </c>
      <c r="G159" s="75" t="n">
        <v>20</v>
      </c>
      <c r="H159" s="39" t="n">
        <v>0</v>
      </c>
      <c r="I159" s="39" t="n">
        <v>13</v>
      </c>
      <c r="J159" s="4" t="inlineStr">
        <is>
          <t>Bar</t>
        </is>
      </c>
      <c r="K159" s="19" t="inlineStr">
        <is>
          <t>YOKOGAWA</t>
        </is>
      </c>
      <c r="L159" s="19" t="inlineStr">
        <is>
          <t>EJA530E</t>
        </is>
      </c>
      <c r="M159" s="19" t="inlineStr">
        <is>
          <t>91S313223</t>
        </is>
      </c>
      <c r="N159" s="2">
        <f>IF(E159="","Waiting","Calibrated")</f>
        <v/>
      </c>
      <c r="O159" s="2" t="n">
        <v>10299968</v>
      </c>
      <c r="P159" s="2" t="inlineStr">
        <is>
          <t>ZM06</t>
        </is>
      </c>
      <c r="Q159" s="2" t="inlineStr">
        <is>
          <t>OK</t>
        </is>
      </c>
      <c r="R159" s="28" t="n"/>
      <c r="S159" s="28" t="n"/>
      <c r="T159" s="29" t="n"/>
    </row>
    <row r="160" ht="35.1" customFormat="1" customHeight="1" s="5">
      <c r="A160" s="17" t="n">
        <v>158</v>
      </c>
      <c r="B160" s="17" t="inlineStr">
        <is>
          <t>KIPP11</t>
        </is>
      </c>
      <c r="C160" s="14" t="inlineStr">
        <is>
          <t>11LBB40CP001</t>
        </is>
      </c>
      <c r="D160" s="14" t="inlineStr">
        <is>
          <t>HOT REHEAT STEAM PT</t>
        </is>
      </c>
      <c r="E160" s="84" t="n">
        <v>46114</v>
      </c>
      <c r="F160" s="75" t="n">
        <v>-1.01</v>
      </c>
      <c r="G160" s="75" t="n">
        <v>275.79</v>
      </c>
      <c r="H160" s="39" t="n">
        <v>0</v>
      </c>
      <c r="I160" s="39" t="n">
        <v>50</v>
      </c>
      <c r="J160" s="4" t="inlineStr">
        <is>
          <t>Bar</t>
        </is>
      </c>
      <c r="K160" s="19" t="inlineStr">
        <is>
          <t>ROSEMOUNT</t>
        </is>
      </c>
      <c r="L160" s="19" t="inlineStr">
        <is>
          <t>2051 PT</t>
        </is>
      </c>
      <c r="M160" s="20" t="n">
        <v>210432</v>
      </c>
      <c r="N160" s="2">
        <f>IF(E160="","Waiting","Calibrated")</f>
        <v/>
      </c>
      <c r="O160" s="2" t="n">
        <v>10299969</v>
      </c>
      <c r="P160" s="2" t="inlineStr">
        <is>
          <t>ZM06</t>
        </is>
      </c>
      <c r="Q160" s="2" t="inlineStr">
        <is>
          <t>OK</t>
        </is>
      </c>
      <c r="R160" s="28" t="n"/>
      <c r="S160" s="28" t="n"/>
      <c r="T160" s="29" t="n"/>
    </row>
    <row r="161" ht="35.1" customFormat="1" customHeight="1" s="5">
      <c r="A161" s="17" t="n">
        <v>159</v>
      </c>
      <c r="B161" s="17" t="inlineStr">
        <is>
          <t>KIPP11</t>
        </is>
      </c>
      <c r="C161" s="14" t="inlineStr">
        <is>
          <t>11LBC00CF101</t>
        </is>
      </c>
      <c r="D161" s="14" t="inlineStr">
        <is>
          <t>COLD REHEAT STEAM FLOW A</t>
        </is>
      </c>
      <c r="E161" s="84" t="n">
        <v>46114</v>
      </c>
      <c r="F161" s="75" t="n">
        <v>-10197.2</v>
      </c>
      <c r="G161" s="75" t="n">
        <v>10197.2</v>
      </c>
      <c r="H161" s="40" t="n">
        <v>0</v>
      </c>
      <c r="I161" s="40" t="n">
        <v>4756.2</v>
      </c>
      <c r="J161" s="4" t="inlineStr">
        <is>
          <t>mmH2O</t>
        </is>
      </c>
      <c r="K161" s="19" t="inlineStr">
        <is>
          <t>YOKOGAWA</t>
        </is>
      </c>
      <c r="L161" s="19" t="inlineStr">
        <is>
          <t>EJA110E</t>
        </is>
      </c>
      <c r="M161" s="19" t="inlineStr">
        <is>
          <t>91S313071</t>
        </is>
      </c>
      <c r="N161" s="2">
        <f>IF(E161="","Waiting","Calibrated")</f>
        <v/>
      </c>
      <c r="O161" s="2" t="n">
        <v>10299972</v>
      </c>
      <c r="P161" s="2" t="inlineStr">
        <is>
          <t>ZM06</t>
        </is>
      </c>
      <c r="Q161" s="2" t="inlineStr">
        <is>
          <t>OK</t>
        </is>
      </c>
      <c r="R161" s="28" t="n"/>
      <c r="S161" s="28" t="n"/>
      <c r="T161" s="29" t="n"/>
    </row>
    <row r="162" ht="35.1" customFormat="1" customHeight="1" s="5">
      <c r="A162" s="17" t="n">
        <v>160</v>
      </c>
      <c r="B162" s="17" t="inlineStr">
        <is>
          <t>KIPP11</t>
        </is>
      </c>
      <c r="C162" s="14" t="inlineStr">
        <is>
          <t>11LBC00CF102</t>
        </is>
      </c>
      <c r="D162" s="14" t="inlineStr">
        <is>
          <t>COLD REHEAT STEAM FLOW B</t>
        </is>
      </c>
      <c r="E162" s="84" t="n">
        <v>46114</v>
      </c>
      <c r="F162" s="75" t="n">
        <v>-10197.2</v>
      </c>
      <c r="G162" s="75" t="n">
        <v>10197.2</v>
      </c>
      <c r="H162" s="40" t="n">
        <v>0</v>
      </c>
      <c r="I162" s="40" t="n">
        <v>4756.2</v>
      </c>
      <c r="J162" s="4" t="inlineStr">
        <is>
          <t>mmH2O</t>
        </is>
      </c>
      <c r="K162" s="19" t="inlineStr">
        <is>
          <t>YOKOGAWA</t>
        </is>
      </c>
      <c r="L162" s="19" t="inlineStr">
        <is>
          <t>EJA110E</t>
        </is>
      </c>
      <c r="M162" s="19" t="inlineStr">
        <is>
          <t>91S313072</t>
        </is>
      </c>
      <c r="N162" s="2">
        <f>IF(E162="","Waiting","Calibrated")</f>
        <v/>
      </c>
      <c r="O162" s="2" t="n">
        <v>10299973</v>
      </c>
      <c r="P162" s="2" t="inlineStr">
        <is>
          <t>ZM06</t>
        </is>
      </c>
      <c r="Q162" s="2" t="inlineStr">
        <is>
          <t>OK</t>
        </is>
      </c>
      <c r="R162" s="28" t="n"/>
      <c r="S162" s="28" t="n"/>
      <c r="T162" s="29" t="n"/>
    </row>
    <row r="163" ht="35.1" customFormat="1" customHeight="1" s="5">
      <c r="A163" s="17" t="n">
        <v>161</v>
      </c>
      <c r="B163" s="17" t="inlineStr">
        <is>
          <t>KIPP11</t>
        </is>
      </c>
      <c r="C163" s="14" t="inlineStr">
        <is>
          <t>11LBC00CP101</t>
        </is>
      </c>
      <c r="D163" s="14" t="inlineStr">
        <is>
          <t>COLD REHEAT STEAM PRESSURE</t>
        </is>
      </c>
      <c r="E163" s="84" t="n">
        <v>46114</v>
      </c>
      <c r="F163" s="75" t="n">
        <v>-1</v>
      </c>
      <c r="G163" s="75" t="n">
        <v>100</v>
      </c>
      <c r="H163" s="39" t="n">
        <v>0</v>
      </c>
      <c r="I163" s="39" t="n">
        <v>43</v>
      </c>
      <c r="J163" s="4" t="inlineStr">
        <is>
          <t>Bar</t>
        </is>
      </c>
      <c r="K163" s="19" t="inlineStr">
        <is>
          <t>YOKOGAWA</t>
        </is>
      </c>
      <c r="L163" s="19" t="inlineStr">
        <is>
          <t>EJA530E</t>
        </is>
      </c>
      <c r="M163" s="19" t="inlineStr">
        <is>
          <t>91S313287</t>
        </is>
      </c>
      <c r="N163" s="2">
        <f>IF(E163="","Waiting","Calibrated")</f>
        <v/>
      </c>
      <c r="O163" s="2" t="n">
        <v>10299974</v>
      </c>
      <c r="P163" s="2" t="inlineStr">
        <is>
          <t>ZM06</t>
        </is>
      </c>
      <c r="Q163" s="2" t="inlineStr">
        <is>
          <t>ok</t>
        </is>
      </c>
      <c r="R163" s="28" t="n"/>
      <c r="S163" s="28" t="n"/>
      <c r="T163" s="29" t="n"/>
    </row>
    <row r="164" ht="35.1" customFormat="1" customHeight="1" s="5">
      <c r="A164" s="17" t="n">
        <v>162</v>
      </c>
      <c r="B164" s="17" t="inlineStr">
        <is>
          <t>KIPP11</t>
        </is>
      </c>
      <c r="C164" s="14" t="inlineStr">
        <is>
          <t>11LBC30CP001</t>
        </is>
      </c>
      <c r="D164" s="14" t="inlineStr">
        <is>
          <t>COLD REHEAT STEAM PT</t>
        </is>
      </c>
      <c r="E164" s="84" t="n"/>
      <c r="F164" s="75" t="n">
        <v>-1.01</v>
      </c>
      <c r="G164" s="75" t="n">
        <v>275.79</v>
      </c>
      <c r="H164" s="39" t="n">
        <v>0</v>
      </c>
      <c r="I164" s="39" t="n">
        <v>60</v>
      </c>
      <c r="J164" s="4" t="inlineStr">
        <is>
          <t>Bar</t>
        </is>
      </c>
      <c r="K164" s="19" t="inlineStr">
        <is>
          <t>ROSEMOUNT</t>
        </is>
      </c>
      <c r="L164" s="19" t="inlineStr">
        <is>
          <t>2051 PT</t>
        </is>
      </c>
      <c r="M164" s="20" t="n">
        <v>210433</v>
      </c>
      <c r="N164" s="2">
        <f>IF(E164="","Waiting","Calibrated")</f>
        <v/>
      </c>
      <c r="O164" s="2" t="n">
        <v>10299975</v>
      </c>
      <c r="P164" s="2" t="inlineStr">
        <is>
          <t>ZM06</t>
        </is>
      </c>
      <c r="Q164" s="2" t="inlineStr">
        <is>
          <t>OK</t>
        </is>
      </c>
      <c r="R164" s="28" t="n"/>
      <c r="S164" s="28" t="n"/>
      <c r="T164" s="29" t="n"/>
    </row>
    <row r="165" ht="35.1" customFormat="1" customHeight="1" s="5">
      <c r="A165" s="17" t="n">
        <v>163</v>
      </c>
      <c r="B165" s="17" t="inlineStr">
        <is>
          <t>KIPP11</t>
        </is>
      </c>
      <c r="C165" s="14" t="inlineStr">
        <is>
          <t>11LBG91CP001</t>
        </is>
      </c>
      <c r="D165" s="14" t="inlineStr">
        <is>
          <t>GT OTC OUT STEAM LINE PT-1</t>
        </is>
      </c>
      <c r="E165" s="84" t="n">
        <v>46114</v>
      </c>
      <c r="F165" s="75" t="n">
        <v>-1</v>
      </c>
      <c r="G165" s="75" t="n">
        <v>500</v>
      </c>
      <c r="H165" s="39" t="n">
        <v>0</v>
      </c>
      <c r="I165" s="39" t="n">
        <v>192</v>
      </c>
      <c r="J165" s="4" t="inlineStr">
        <is>
          <t>Bar</t>
        </is>
      </c>
      <c r="K165" s="19" t="inlineStr">
        <is>
          <t>YOKOGAWA</t>
        </is>
      </c>
      <c r="L165" s="19" t="inlineStr">
        <is>
          <t>EJA530E</t>
        </is>
      </c>
      <c r="M165" s="19" t="inlineStr">
        <is>
          <t>91S313324</t>
        </is>
      </c>
      <c r="N165" s="2">
        <f>IF(E165="","Waiting","Calibrated")</f>
        <v/>
      </c>
      <c r="O165" s="2" t="n">
        <v>10299976</v>
      </c>
      <c r="P165" s="2" t="inlineStr">
        <is>
          <t>ZM06</t>
        </is>
      </c>
      <c r="Q165" s="2" t="inlineStr">
        <is>
          <t>ok</t>
        </is>
      </c>
      <c r="R165" s="28" t="n"/>
      <c r="S165" s="28" t="n"/>
      <c r="T165" s="29" t="n"/>
    </row>
    <row r="166" ht="35.1" customFormat="1" customHeight="1" s="5">
      <c r="A166" s="17" t="n">
        <v>164</v>
      </c>
      <c r="B166" s="17" t="inlineStr">
        <is>
          <t>KIPP11</t>
        </is>
      </c>
      <c r="C166" s="14" t="inlineStr">
        <is>
          <t>11LBG91CP002</t>
        </is>
      </c>
      <c r="D166" s="14" t="inlineStr">
        <is>
          <t>GT OTC OUT STEAM LINE PT-2</t>
        </is>
      </c>
      <c r="E166" s="84" t="n">
        <v>46114</v>
      </c>
      <c r="F166" s="75" t="n">
        <v>-1</v>
      </c>
      <c r="G166" s="75" t="n">
        <v>500</v>
      </c>
      <c r="H166" s="39" t="n">
        <v>0</v>
      </c>
      <c r="I166" s="39" t="n">
        <v>192</v>
      </c>
      <c r="J166" s="4" t="inlineStr">
        <is>
          <t>Bar</t>
        </is>
      </c>
      <c r="K166" s="19" t="inlineStr">
        <is>
          <t>YOKOGAWA</t>
        </is>
      </c>
      <c r="L166" s="19" t="inlineStr">
        <is>
          <t>EJA530E</t>
        </is>
      </c>
      <c r="M166" s="19" t="inlineStr">
        <is>
          <t>91S313326</t>
        </is>
      </c>
      <c r="N166" s="2">
        <f>IF(E166="","Waiting","Calibrated")</f>
        <v/>
      </c>
      <c r="O166" s="2" t="n">
        <v>10300011</v>
      </c>
      <c r="P166" s="2" t="inlineStr">
        <is>
          <t>ZM06</t>
        </is>
      </c>
      <c r="Q166" s="2" t="inlineStr">
        <is>
          <t>ok</t>
        </is>
      </c>
      <c r="R166" s="28" t="n"/>
      <c r="S166" s="28" t="n"/>
      <c r="T166" s="29" t="n"/>
    </row>
    <row r="167" ht="35.1" customFormat="1" customHeight="1" s="5">
      <c r="A167" s="17" t="n">
        <v>165</v>
      </c>
      <c r="B167" s="17" t="inlineStr">
        <is>
          <t>KIPP11</t>
        </is>
      </c>
      <c r="C167" s="14" t="inlineStr">
        <is>
          <t>11LCA20CF101</t>
        </is>
      </c>
      <c r="D167" s="14" t="inlineStr">
        <is>
          <t>LP STEAM BYPASS SPRAYAY WATER FT</t>
        </is>
      </c>
      <c r="E167" s="84" t="n">
        <v>46097</v>
      </c>
      <c r="F167" s="75" t="n">
        <v>-10197.2</v>
      </c>
      <c r="G167" s="75" t="n">
        <v>10197.2</v>
      </c>
      <c r="H167" s="40" t="n">
        <v>0</v>
      </c>
      <c r="I167" s="40" t="n">
        <v>5000</v>
      </c>
      <c r="J167" s="4" t="inlineStr">
        <is>
          <t>mmH2O</t>
        </is>
      </c>
      <c r="K167" s="19" t="inlineStr">
        <is>
          <t>YOKOGAWA</t>
        </is>
      </c>
      <c r="L167" s="19" t="inlineStr">
        <is>
          <t>EJA110E</t>
        </is>
      </c>
      <c r="M167" s="19" t="inlineStr">
        <is>
          <t>91S313062</t>
        </is>
      </c>
      <c r="N167" s="2">
        <f>IF(E167="","Waiting","Calibrated")</f>
        <v/>
      </c>
      <c r="O167" s="2" t="n">
        <v>10300012</v>
      </c>
      <c r="P167" s="2" t="inlineStr">
        <is>
          <t>ZM06</t>
        </is>
      </c>
      <c r="Q167" s="2" t="inlineStr">
        <is>
          <t>OK</t>
        </is>
      </c>
      <c r="R167" s="28" t="n"/>
      <c r="S167" s="28" t="n"/>
      <c r="T167" s="29" t="n"/>
    </row>
    <row r="168" ht="35.1" customFormat="1" customHeight="1" s="5">
      <c r="A168" s="17" t="n">
        <v>166</v>
      </c>
      <c r="B168" s="17" t="inlineStr">
        <is>
          <t>KIPP11</t>
        </is>
      </c>
      <c r="C168" s="14" t="inlineStr">
        <is>
          <t>11LCA21CF101</t>
        </is>
      </c>
      <c r="D168" s="14" t="inlineStr">
        <is>
          <t>HOT REHEAT STEAM BYPASS SPRAYAY WATER FT</t>
        </is>
      </c>
      <c r="E168" s="84" t="n">
        <v>46097</v>
      </c>
      <c r="F168" s="75" t="n">
        <v>-10197.2</v>
      </c>
      <c r="G168" s="75" t="n">
        <v>10197.2</v>
      </c>
      <c r="H168" s="40" t="n">
        <v>0</v>
      </c>
      <c r="I168" s="40" t="n">
        <v>5000</v>
      </c>
      <c r="J168" s="4" t="inlineStr">
        <is>
          <t>mmH2O</t>
        </is>
      </c>
      <c r="K168" s="19" t="inlineStr">
        <is>
          <t>YOKOGAWA</t>
        </is>
      </c>
      <c r="L168" s="19" t="inlineStr">
        <is>
          <t>EJA110E</t>
        </is>
      </c>
      <c r="M168" s="19" t="inlineStr">
        <is>
          <t>91S313060</t>
        </is>
      </c>
      <c r="N168" s="2">
        <f>IF(E168="","Waiting","Calibrated")</f>
        <v/>
      </c>
      <c r="O168" s="2" t="n">
        <v>10300015</v>
      </c>
      <c r="P168" s="2" t="inlineStr">
        <is>
          <t>ZM06</t>
        </is>
      </c>
      <c r="Q168" s="2" t="inlineStr">
        <is>
          <t>OK</t>
        </is>
      </c>
      <c r="R168" s="28" t="n"/>
      <c r="S168" s="28" t="n"/>
      <c r="T168" s="29" t="n"/>
    </row>
    <row r="169" ht="35.1" customFormat="1" customHeight="1" s="5">
      <c r="A169" s="17" t="n">
        <v>167</v>
      </c>
      <c r="B169" s="17" t="inlineStr">
        <is>
          <t>KIPP11</t>
        </is>
      </c>
      <c r="C169" s="14" t="inlineStr">
        <is>
          <t>11MBA30CP001</t>
        </is>
      </c>
      <c r="D169" s="14" t="inlineStr">
        <is>
          <t>PRESSURE MEASUREMENT EXHAUST DIFFUSER</t>
        </is>
      </c>
      <c r="E169" s="84" t="n">
        <v>46041</v>
      </c>
      <c r="F169" s="75" t="n">
        <v>0</v>
      </c>
      <c r="G169" s="75" t="n">
        <v>20.684</v>
      </c>
      <c r="H169" s="40" t="n">
        <v>0.8</v>
      </c>
      <c r="I169" s="40" t="n">
        <v>1.2</v>
      </c>
      <c r="J169" s="4" t="inlineStr">
        <is>
          <t>Bar</t>
        </is>
      </c>
      <c r="K169" s="19" t="inlineStr">
        <is>
          <t>ROSEMOUNT</t>
        </is>
      </c>
      <c r="L169" s="19" t="inlineStr">
        <is>
          <t>3051 PT</t>
        </is>
      </c>
      <c r="M169" s="19" t="n">
        <v>9824805</v>
      </c>
      <c r="N169" s="2">
        <f>IF(E169="","Waiting","Calibrated")</f>
        <v/>
      </c>
      <c r="O169" s="2" t="n">
        <v>10300054</v>
      </c>
      <c r="P169" s="2" t="inlineStr">
        <is>
          <t>ZM06</t>
        </is>
      </c>
      <c r="Q169" s="2" t="inlineStr">
        <is>
          <t>OK</t>
        </is>
      </c>
      <c r="R169" s="28" t="n"/>
      <c r="S169" s="28" t="n"/>
      <c r="T169" s="29" t="n"/>
    </row>
    <row r="170" ht="35.1" customFormat="1" customHeight="1" s="5">
      <c r="A170" s="17" t="n">
        <v>168</v>
      </c>
      <c r="B170" s="17" t="inlineStr">
        <is>
          <t>KIPP11</t>
        </is>
      </c>
      <c r="C170" s="14" t="inlineStr">
        <is>
          <t>11MBA30CP003</t>
        </is>
      </c>
      <c r="D170" s="14" t="inlineStr">
        <is>
          <t>PRESSURE MEASUREMENT EXHAUST DIFFUSER</t>
        </is>
      </c>
      <c r="E170" s="84" t="n">
        <v>46041</v>
      </c>
      <c r="F170" s="75" t="n">
        <v>0</v>
      </c>
      <c r="G170" s="75" t="n">
        <v>20.684</v>
      </c>
      <c r="H170" s="40" t="n">
        <v>0.8</v>
      </c>
      <c r="I170" s="40" t="n">
        <v>1.2</v>
      </c>
      <c r="J170" s="4" t="inlineStr">
        <is>
          <t>Bar</t>
        </is>
      </c>
      <c r="K170" s="19" t="inlineStr">
        <is>
          <t>ROSEMOUNT</t>
        </is>
      </c>
      <c r="L170" s="19" t="inlineStr">
        <is>
          <t>3051 PT</t>
        </is>
      </c>
      <c r="M170" s="19" t="n">
        <v>9824806</v>
      </c>
      <c r="N170" s="2">
        <f>IF(E170="","Waiting","Calibrated")</f>
        <v/>
      </c>
      <c r="O170" s="2" t="n">
        <v>10300054</v>
      </c>
      <c r="P170" s="2" t="inlineStr">
        <is>
          <t>ZM06</t>
        </is>
      </c>
      <c r="Q170" s="2" t="inlineStr">
        <is>
          <t>OK</t>
        </is>
      </c>
      <c r="R170" s="28" t="n"/>
      <c r="S170" s="28" t="n"/>
      <c r="T170" s="29" t="n"/>
    </row>
    <row r="171" ht="35.1" customFormat="1" customHeight="1" s="5">
      <c r="A171" s="17" t="n">
        <v>169</v>
      </c>
      <c r="B171" s="17" t="inlineStr">
        <is>
          <t>KIPP11</t>
        </is>
      </c>
      <c r="C171" s="14" t="inlineStr">
        <is>
          <t>11MBA30CP004</t>
        </is>
      </c>
      <c r="D171" s="14" t="inlineStr">
        <is>
          <t>PRESSURE MEASUREMENT EXHAUST DIFFUSER</t>
        </is>
      </c>
      <c r="E171" s="84" t="n">
        <v>46041</v>
      </c>
      <c r="F171" s="75" t="n">
        <v>0</v>
      </c>
      <c r="G171" s="75" t="n">
        <v>20.684</v>
      </c>
      <c r="H171" s="40" t="n">
        <v>0.8</v>
      </c>
      <c r="I171" s="40" t="n">
        <v>1.2</v>
      </c>
      <c r="J171" s="4" t="inlineStr">
        <is>
          <t>Bar</t>
        </is>
      </c>
      <c r="K171" s="19" t="inlineStr">
        <is>
          <t>ROSEMOUNT</t>
        </is>
      </c>
      <c r="L171" s="19" t="inlineStr">
        <is>
          <t>3051 PT</t>
        </is>
      </c>
      <c r="M171" s="19" t="n">
        <v>9824807</v>
      </c>
      <c r="N171" s="2">
        <f>IF(E171="","Waiting","Calibrated")</f>
        <v/>
      </c>
      <c r="O171" s="2" t="n">
        <v>10300096</v>
      </c>
      <c r="P171" s="2" t="inlineStr">
        <is>
          <t>ZM06</t>
        </is>
      </c>
      <c r="Q171" s="2" t="inlineStr">
        <is>
          <t>OK</t>
        </is>
      </c>
      <c r="R171" s="28" t="n"/>
      <c r="S171" s="28" t="n"/>
      <c r="T171" s="29" t="n"/>
    </row>
    <row r="172" ht="35.1" customFormat="1" customHeight="1" s="5">
      <c r="A172" s="17" t="n">
        <v>170</v>
      </c>
      <c r="B172" s="17" t="inlineStr">
        <is>
          <t>KIPP11</t>
        </is>
      </c>
      <c r="C172" s="14" t="inlineStr">
        <is>
          <t>11MBA80CP051</t>
        </is>
      </c>
      <c r="D172" s="14" t="inlineStr">
        <is>
          <t>GT AFT COMPRESSOR 1H PT</t>
        </is>
      </c>
      <c r="E172" s="84" t="n">
        <v>46041</v>
      </c>
      <c r="F172" s="75" t="n">
        <v>-137.89</v>
      </c>
      <c r="G172" s="75" t="n">
        <v>137.89</v>
      </c>
      <c r="H172" s="39" t="n">
        <v>0</v>
      </c>
      <c r="I172" s="39" t="n">
        <v>40</v>
      </c>
      <c r="J172" s="4" t="inlineStr">
        <is>
          <t>Bar</t>
        </is>
      </c>
      <c r="K172" s="19" t="inlineStr">
        <is>
          <t>ROSEMOUNT</t>
        </is>
      </c>
      <c r="L172" s="19" t="inlineStr">
        <is>
          <t>3051CG</t>
        </is>
      </c>
      <c r="M172" s="20" t="n">
        <v>9825256</v>
      </c>
      <c r="N172" s="2">
        <f>IF(E172="","Waiting","Calibrated")</f>
        <v/>
      </c>
      <c r="O172" s="2" t="n">
        <v>10300096</v>
      </c>
      <c r="P172" s="2" t="inlineStr">
        <is>
          <t>ZM06</t>
        </is>
      </c>
      <c r="Q172" s="2" t="inlineStr">
        <is>
          <t>OK</t>
        </is>
      </c>
      <c r="R172" s="28" t="n"/>
      <c r="S172" s="28" t="n"/>
      <c r="T172" s="29" t="n"/>
    </row>
    <row r="173" ht="35.1" customFormat="1" customHeight="1" s="5">
      <c r="A173" s="17" t="n">
        <v>171</v>
      </c>
      <c r="B173" s="17" t="inlineStr">
        <is>
          <t>KIPP11</t>
        </is>
      </c>
      <c r="C173" s="14" t="inlineStr">
        <is>
          <t>11MBA80CP052</t>
        </is>
      </c>
      <c r="D173" s="14" t="inlineStr">
        <is>
          <t>GT AFT COMPRESSOR 4H PT</t>
        </is>
      </c>
      <c r="E173" s="84" t="n">
        <v>46041</v>
      </c>
      <c r="F173" s="75" t="n">
        <v>-137.89</v>
      </c>
      <c r="G173" s="75" t="n">
        <v>137.89</v>
      </c>
      <c r="H173" s="39" t="n">
        <v>0</v>
      </c>
      <c r="I173" s="39" t="n">
        <v>40</v>
      </c>
      <c r="J173" s="4" t="inlineStr">
        <is>
          <t>Bar</t>
        </is>
      </c>
      <c r="K173" s="19" t="inlineStr">
        <is>
          <t>ROSEMOUNT</t>
        </is>
      </c>
      <c r="L173" s="19" t="inlineStr">
        <is>
          <t>3051CG</t>
        </is>
      </c>
      <c r="M173" s="20" t="n">
        <v>9825257</v>
      </c>
      <c r="N173" s="2">
        <f>IF(E173="","Waiting","Calibrated")</f>
        <v/>
      </c>
      <c r="O173" s="2" t="n">
        <v>10300101</v>
      </c>
      <c r="P173" s="2" t="inlineStr">
        <is>
          <t>ZM06</t>
        </is>
      </c>
      <c r="Q173" s="2" t="inlineStr">
        <is>
          <t>OK</t>
        </is>
      </c>
      <c r="R173" s="28" t="n"/>
      <c r="S173" s="28" t="n"/>
      <c r="T173" s="29" t="n"/>
    </row>
    <row r="174" ht="35.1" customFormat="1" customHeight="1" s="5">
      <c r="A174" s="17" t="n">
        <v>172</v>
      </c>
      <c r="B174" s="17" t="inlineStr">
        <is>
          <t>KIPP11</t>
        </is>
      </c>
      <c r="C174" s="14" t="inlineStr">
        <is>
          <t>11MBA80CP054</t>
        </is>
      </c>
      <c r="D174" s="14" t="inlineStr">
        <is>
          <t>P AFT COMPRESSOR 8H PT</t>
        </is>
      </c>
      <c r="E174" s="84" t="n">
        <v>46041</v>
      </c>
      <c r="F174" s="75" t="n">
        <v>-137.89</v>
      </c>
      <c r="G174" s="75" t="n">
        <v>137.89</v>
      </c>
      <c r="H174" s="40" t="inlineStr">
        <is>
          <t>0</t>
        </is>
      </c>
      <c r="I174" s="40" t="inlineStr">
        <is>
          <t>40</t>
        </is>
      </c>
      <c r="J174" s="4" t="inlineStr">
        <is>
          <t>Bar</t>
        </is>
      </c>
      <c r="K174" s="19" t="inlineStr">
        <is>
          <t>ROSEMOUNT</t>
        </is>
      </c>
      <c r="L174" s="19" t="inlineStr">
        <is>
          <t>3051CD</t>
        </is>
      </c>
      <c r="M174" s="20" t="n">
        <v>9825258</v>
      </c>
      <c r="N174" s="2">
        <f>IF(E174="","Waiting","Calibrated")</f>
        <v/>
      </c>
      <c r="O174" s="2" t="n">
        <v>10300102</v>
      </c>
      <c r="P174" s="2" t="inlineStr">
        <is>
          <t>ZM06</t>
        </is>
      </c>
      <c r="Q174" s="2" t="inlineStr">
        <is>
          <t>OK</t>
        </is>
      </c>
      <c r="R174" s="28" t="n"/>
      <c r="S174" s="28" t="n"/>
      <c r="T174" s="29" t="n"/>
    </row>
    <row r="175" ht="35.1" customFormat="1" customHeight="1" s="5">
      <c r="A175" s="17" t="n">
        <v>173</v>
      </c>
      <c r="B175" s="17" t="inlineStr">
        <is>
          <t>KIPP11</t>
        </is>
      </c>
      <c r="C175" s="14" t="inlineStr">
        <is>
          <t>11MBE41CP013</t>
        </is>
      </c>
      <c r="D175" s="14" t="inlineStr">
        <is>
          <t>GT H/F WATER PUMP SUCTION FILTER PDT</t>
        </is>
      </c>
      <c r="E175" s="84" t="n"/>
      <c r="F175" s="75" t="n"/>
      <c r="G175" s="75" t="n"/>
      <c r="H175" s="39" t="n">
        <v>-1000</v>
      </c>
      <c r="I175" s="39" t="n">
        <v>2200</v>
      </c>
      <c r="J175" s="4" t="inlineStr">
        <is>
          <t>mBar</t>
        </is>
      </c>
      <c r="K175" s="33" t="inlineStr">
        <is>
          <t>ROSEMOUNT</t>
        </is>
      </c>
      <c r="L175" s="33" t="inlineStr">
        <is>
          <t>2088TG</t>
        </is>
      </c>
      <c r="M175" s="20" t="n">
        <v>2753518</v>
      </c>
      <c r="N175" s="2">
        <f>IF(E175="","Waiting","Calibrated")</f>
        <v/>
      </c>
      <c r="O175" s="2" t="n">
        <v>10300106</v>
      </c>
      <c r="P175" s="2" t="inlineStr">
        <is>
          <t>ZM06</t>
        </is>
      </c>
      <c r="Q175" s="2" t="inlineStr">
        <is>
          <t>OK</t>
        </is>
      </c>
      <c r="R175" s="28" t="n"/>
      <c r="S175" s="28" t="n"/>
      <c r="T175" s="29" t="n"/>
    </row>
    <row r="176" ht="35.1" customFormat="1" customHeight="1" s="5">
      <c r="A176" s="17" t="n">
        <v>174</v>
      </c>
      <c r="B176" s="17" t="inlineStr">
        <is>
          <t>KIPP11</t>
        </is>
      </c>
      <c r="C176" s="14" t="inlineStr">
        <is>
          <t>11MBE41CP121</t>
        </is>
      </c>
      <c r="D176" s="14" t="inlineStr">
        <is>
          <t>GT H/F WATER PUMP-1 SUCTION PT</t>
        </is>
      </c>
      <c r="E176" s="84" t="n"/>
      <c r="F176" s="75" t="n">
        <v>-14.7</v>
      </c>
      <c r="G176" s="75" t="n">
        <v>800</v>
      </c>
      <c r="H176" s="39" t="n">
        <v>-14.7</v>
      </c>
      <c r="I176" s="39" t="n">
        <v>150</v>
      </c>
      <c r="J176" s="4" t="inlineStr">
        <is>
          <t>psi</t>
        </is>
      </c>
      <c r="K176" s="33" t="inlineStr">
        <is>
          <t>ROSEMOUNT</t>
        </is>
      </c>
      <c r="L176" s="33" t="inlineStr">
        <is>
          <t>2051TG</t>
        </is>
      </c>
      <c r="M176" s="20" t="n">
        <v>210595</v>
      </c>
      <c r="N176" s="2">
        <f>IF(E176="","Waiting","Calibrated")</f>
        <v/>
      </c>
      <c r="O176" s="2" t="n">
        <v>10300107</v>
      </c>
      <c r="P176" s="2" t="inlineStr">
        <is>
          <t>ZM06</t>
        </is>
      </c>
      <c r="Q176" s="2" t="inlineStr">
        <is>
          <t>OK</t>
        </is>
      </c>
      <c r="R176" s="28" t="n"/>
      <c r="S176" s="28" t="n"/>
      <c r="T176" s="29" t="n"/>
    </row>
    <row r="177" ht="35.1" customFormat="1" customHeight="1" s="5">
      <c r="A177" s="17" t="n">
        <v>175</v>
      </c>
      <c r="B177" s="17" t="inlineStr">
        <is>
          <t>KIPP11</t>
        </is>
      </c>
      <c r="C177" s="14" t="inlineStr">
        <is>
          <t>11MBE41CP122</t>
        </is>
      </c>
      <c r="D177" s="14" t="inlineStr">
        <is>
          <t>GT H/F WATER PUMP-2 SUCTION PT</t>
        </is>
      </c>
      <c r="E177" s="84" t="n"/>
      <c r="F177" s="75" t="n">
        <v>-14.7</v>
      </c>
      <c r="G177" s="75" t="n">
        <v>4000</v>
      </c>
      <c r="H177" s="39" t="n">
        <v>-14.7</v>
      </c>
      <c r="I177" s="39" t="n">
        <v>150</v>
      </c>
      <c r="J177" s="4" t="inlineStr">
        <is>
          <t>psi</t>
        </is>
      </c>
      <c r="K177" s="33" t="inlineStr">
        <is>
          <t>ROSEMOUNT</t>
        </is>
      </c>
      <c r="L177" s="33" t="inlineStr">
        <is>
          <t>2051TG</t>
        </is>
      </c>
      <c r="M177" s="20" t="n">
        <v>210445</v>
      </c>
      <c r="N177" s="2">
        <f>IF(E177="","Waiting","Calibrated")</f>
        <v/>
      </c>
      <c r="O177" s="2" t="n">
        <v>10300113</v>
      </c>
      <c r="P177" s="2" t="inlineStr">
        <is>
          <t>ZM06</t>
        </is>
      </c>
      <c r="Q177" s="2" t="inlineStr">
        <is>
          <t>OK</t>
        </is>
      </c>
      <c r="R177" s="28" t="n"/>
      <c r="S177" s="28" t="n"/>
      <c r="T177" s="29" t="n"/>
    </row>
    <row r="178" ht="35.1" customFormat="1" customHeight="1" s="5">
      <c r="A178" s="17" t="n">
        <v>176</v>
      </c>
      <c r="B178" s="17" t="inlineStr">
        <is>
          <t>KIPP11</t>
        </is>
      </c>
      <c r="C178" s="14" t="inlineStr">
        <is>
          <t>11MBE41CP123</t>
        </is>
      </c>
      <c r="D178" s="14" t="inlineStr">
        <is>
          <t>GT H/F WATER PUMP-3 SUCTION PT</t>
        </is>
      </c>
      <c r="E178" s="84" t="n"/>
      <c r="F178" s="75" t="n">
        <v>-14.7</v>
      </c>
      <c r="G178" s="75" t="n">
        <v>800</v>
      </c>
      <c r="H178" s="39" t="n">
        <v>-14.7</v>
      </c>
      <c r="I178" s="39" t="n">
        <v>150</v>
      </c>
      <c r="J178" s="4" t="inlineStr">
        <is>
          <t>psi</t>
        </is>
      </c>
      <c r="K178" s="33" t="inlineStr">
        <is>
          <t>ROSEMOUNT</t>
        </is>
      </c>
      <c r="L178" s="33" t="inlineStr">
        <is>
          <t>2051TG</t>
        </is>
      </c>
      <c r="M178" s="20" t="n">
        <v>210429</v>
      </c>
      <c r="N178" s="2">
        <f>IF(E178="","Waiting","Calibrated")</f>
        <v/>
      </c>
      <c r="O178" s="2" t="n">
        <v>10300114</v>
      </c>
      <c r="P178" s="2" t="inlineStr">
        <is>
          <t>ZM06</t>
        </is>
      </c>
      <c r="Q178" s="2" t="inlineStr">
        <is>
          <t>OK</t>
        </is>
      </c>
      <c r="R178" s="28" t="n"/>
      <c r="S178" s="28" t="n"/>
      <c r="T178" s="29" t="n"/>
    </row>
    <row r="179" ht="35.1" customFormat="1" customHeight="1" s="5">
      <c r="A179" s="17" t="n">
        <v>177</v>
      </c>
      <c r="B179" s="17" t="inlineStr">
        <is>
          <t>KIPP11</t>
        </is>
      </c>
      <c r="C179" s="14" t="inlineStr">
        <is>
          <t>11MBE41CP124</t>
        </is>
      </c>
      <c r="D179" s="14" t="inlineStr">
        <is>
          <t>GT H/F WATER PUMP-4 SUCTION PT</t>
        </is>
      </c>
      <c r="E179" s="84" t="n"/>
      <c r="F179" s="75" t="n">
        <v>-14.7</v>
      </c>
      <c r="G179" s="75" t="n">
        <v>4000</v>
      </c>
      <c r="H179" s="39" t="n">
        <v>-14.7</v>
      </c>
      <c r="I179" s="39" t="n">
        <v>150</v>
      </c>
      <c r="J179" s="4" t="inlineStr">
        <is>
          <t>psi</t>
        </is>
      </c>
      <c r="K179" s="33" t="inlineStr">
        <is>
          <t>ROSEMOUNT</t>
        </is>
      </c>
      <c r="L179" s="33" t="inlineStr">
        <is>
          <t>2051TG</t>
        </is>
      </c>
      <c r="M179" s="20" t="n">
        <v>210446</v>
      </c>
      <c r="N179" s="2">
        <f>IF(E179="","Waiting","Calibrated")</f>
        <v/>
      </c>
      <c r="O179" s="2" t="n">
        <v>10300131</v>
      </c>
      <c r="P179" s="2" t="inlineStr">
        <is>
          <t>ZM06</t>
        </is>
      </c>
      <c r="Q179" s="2" t="inlineStr">
        <is>
          <t>OK</t>
        </is>
      </c>
      <c r="R179" s="28" t="n"/>
      <c r="S179" s="28" t="n"/>
      <c r="T179" s="29" t="n"/>
    </row>
    <row r="180" ht="35.1" customFormat="1" customHeight="1" s="5">
      <c r="A180" s="17" t="n">
        <v>178</v>
      </c>
      <c r="B180" s="17" t="inlineStr">
        <is>
          <t>KIPP11</t>
        </is>
      </c>
      <c r="C180" s="14" t="inlineStr">
        <is>
          <t>11MBE41CP141</t>
        </is>
      </c>
      <c r="D180" s="14" t="inlineStr">
        <is>
          <t>GT H/F WATER PUMP-1 DISCHARGE PT</t>
        </is>
      </c>
      <c r="E180" s="84" t="n"/>
      <c r="F180" s="75" t="n">
        <v>0</v>
      </c>
      <c r="G180" s="75" t="n">
        <v>4000</v>
      </c>
      <c r="H180" s="75" t="n">
        <v>-14.7</v>
      </c>
      <c r="I180" s="75" t="n">
        <v>4000</v>
      </c>
      <c r="J180" s="4" t="inlineStr">
        <is>
          <t>psi</t>
        </is>
      </c>
      <c r="K180" s="33" t="inlineStr">
        <is>
          <t>ROSEMOUNT</t>
        </is>
      </c>
      <c r="L180" s="33" t="inlineStr">
        <is>
          <t>2088TG</t>
        </is>
      </c>
      <c r="M180" s="20" t="n">
        <v>631493</v>
      </c>
      <c r="N180" s="2">
        <f>IF(E180="","Waiting","Calibrated")</f>
        <v/>
      </c>
      <c r="O180" s="2" t="n">
        <v>10300132</v>
      </c>
      <c r="P180" s="2" t="inlineStr">
        <is>
          <t>ZM06</t>
        </is>
      </c>
      <c r="Q180" s="2" t="inlineStr">
        <is>
          <t>OK</t>
        </is>
      </c>
      <c r="R180" s="28" t="n"/>
      <c r="S180" s="28" t="n"/>
      <c r="T180" s="29" t="n"/>
    </row>
    <row r="181" ht="35.1" customFormat="1" customHeight="1" s="5">
      <c r="A181" s="17" t="n">
        <v>179</v>
      </c>
      <c r="B181" s="17" t="inlineStr">
        <is>
          <t>KIPP11</t>
        </is>
      </c>
      <c r="C181" s="14" t="inlineStr">
        <is>
          <t>11MBE41CP142</t>
        </is>
      </c>
      <c r="D181" s="14" t="inlineStr">
        <is>
          <t>GT H/F WATER PUMP-2 DISCHARGE PT</t>
        </is>
      </c>
      <c r="E181" s="84" t="n"/>
      <c r="F181" s="75" t="n">
        <v>-14.7</v>
      </c>
      <c r="G181" s="75" t="n">
        <v>4000</v>
      </c>
      <c r="H181" s="75" t="n">
        <v>-14.7</v>
      </c>
      <c r="I181" s="75" t="n">
        <v>4000</v>
      </c>
      <c r="J181" s="4" t="inlineStr">
        <is>
          <t>psi</t>
        </is>
      </c>
      <c r="K181" s="33" t="inlineStr">
        <is>
          <t>ROSEMOUNT</t>
        </is>
      </c>
      <c r="L181" s="33" t="inlineStr">
        <is>
          <t>2088TG</t>
        </is>
      </c>
      <c r="M181" s="20" t="n">
        <v>607375</v>
      </c>
      <c r="N181" s="2">
        <f>IF(E181="","Waiting","Calibrated")</f>
        <v/>
      </c>
      <c r="O181" s="2" t="n">
        <v>10300133</v>
      </c>
      <c r="P181" s="2" t="inlineStr">
        <is>
          <t>ZM06</t>
        </is>
      </c>
      <c r="Q181" s="2" t="inlineStr">
        <is>
          <t>OK</t>
        </is>
      </c>
      <c r="R181" s="28" t="n"/>
      <c r="S181" s="28" t="n"/>
      <c r="T181" s="29" t="n"/>
    </row>
    <row r="182" ht="35.1" customFormat="1" customHeight="1" s="5">
      <c r="A182" s="17" t="n">
        <v>180</v>
      </c>
      <c r="B182" s="17" t="inlineStr">
        <is>
          <t>KIPP11</t>
        </is>
      </c>
      <c r="C182" s="14" t="inlineStr">
        <is>
          <t>11MBE41CP143</t>
        </is>
      </c>
      <c r="D182" s="14" t="inlineStr">
        <is>
          <t>GT H/F WATER PUMP-3 DISCHARGE PT</t>
        </is>
      </c>
      <c r="E182" s="84" t="n"/>
      <c r="F182" s="75" t="n">
        <v>0</v>
      </c>
      <c r="G182" s="75" t="n">
        <v>4000</v>
      </c>
      <c r="H182" s="75" t="n">
        <v>-14.7</v>
      </c>
      <c r="I182" s="75" t="n">
        <v>4000</v>
      </c>
      <c r="J182" s="4" t="inlineStr">
        <is>
          <t>psi</t>
        </is>
      </c>
      <c r="K182" s="33" t="inlineStr">
        <is>
          <t>ROSEMOUNT</t>
        </is>
      </c>
      <c r="L182" s="33" t="inlineStr">
        <is>
          <t>2088TG</t>
        </is>
      </c>
      <c r="M182" s="20" t="n">
        <v>631492</v>
      </c>
      <c r="N182" s="2">
        <f>IF(E182="","Waiting","Calibrated")</f>
        <v/>
      </c>
      <c r="O182" s="2" t="n"/>
      <c r="P182" s="2" t="n"/>
      <c r="Q182" s="2" t="inlineStr">
        <is>
          <t>OK</t>
        </is>
      </c>
      <c r="R182" s="28" t="n"/>
      <c r="S182" s="28" t="n"/>
      <c r="T182" s="29" t="n"/>
    </row>
    <row r="183" ht="35.1" customFormat="1" customHeight="1" s="5">
      <c r="A183" s="17" t="n">
        <v>181</v>
      </c>
      <c r="B183" s="17" t="inlineStr">
        <is>
          <t>KIPP11</t>
        </is>
      </c>
      <c r="C183" s="14" t="inlineStr">
        <is>
          <t>11MBE41CP144</t>
        </is>
      </c>
      <c r="D183" s="14" t="inlineStr">
        <is>
          <t>GT H/F WATER PUMP-4 DISCHARGE PT</t>
        </is>
      </c>
      <c r="E183" s="84" t="n"/>
      <c r="F183" s="75" t="n">
        <v>0</v>
      </c>
      <c r="G183" s="75" t="n">
        <v>4000</v>
      </c>
      <c r="H183" s="75" t="n">
        <v>-14.7</v>
      </c>
      <c r="I183" s="75" t="n">
        <v>4000</v>
      </c>
      <c r="J183" s="4" t="inlineStr">
        <is>
          <t>psi</t>
        </is>
      </c>
      <c r="K183" s="33" t="inlineStr">
        <is>
          <t>ROSEMOUNT</t>
        </is>
      </c>
      <c r="L183" s="33" t="inlineStr">
        <is>
          <t>2088TG</t>
        </is>
      </c>
      <c r="M183" s="20" t="n">
        <v>631494</v>
      </c>
      <c r="N183" s="2">
        <f>IF(E183="","Waiting","Calibrated")</f>
        <v/>
      </c>
      <c r="O183" s="2" t="n">
        <v>10300278</v>
      </c>
      <c r="P183" s="2" t="inlineStr">
        <is>
          <t>ZM06</t>
        </is>
      </c>
      <c r="Q183" s="2" t="inlineStr">
        <is>
          <t>OK</t>
        </is>
      </c>
      <c r="R183" s="28" t="n"/>
      <c r="S183" s="28" t="n"/>
      <c r="T183" s="29" t="n"/>
    </row>
    <row r="184" ht="35.1" customFormat="1" customHeight="1" s="5">
      <c r="A184" s="17" t="n">
        <v>182</v>
      </c>
      <c r="B184" s="17" t="inlineStr">
        <is>
          <t>KIPP11</t>
        </is>
      </c>
      <c r="C184" s="14" t="inlineStr">
        <is>
          <t>11MBH20CP007</t>
        </is>
      </c>
      <c r="D184" s="14" t="inlineStr">
        <is>
          <t>GT CARR COOLING AIR PT</t>
        </is>
      </c>
      <c r="E184" s="84" t="n">
        <v>46041</v>
      </c>
      <c r="F184" s="75" t="n">
        <v>-137.89</v>
      </c>
      <c r="G184" s="75" t="n">
        <v>137.89</v>
      </c>
      <c r="H184" s="39" t="n">
        <v>0</v>
      </c>
      <c r="I184" s="39" t="n">
        <v>15</v>
      </c>
      <c r="J184" s="4" t="inlineStr">
        <is>
          <t>Bar</t>
        </is>
      </c>
      <c r="K184" s="19" t="inlineStr">
        <is>
          <t>ROSEMOUNT</t>
        </is>
      </c>
      <c r="L184" s="19" t="inlineStr">
        <is>
          <t>3051CG</t>
        </is>
      </c>
      <c r="M184" s="20" t="n">
        <v>9825262</v>
      </c>
      <c r="N184" s="2">
        <f>IF(E184="","Waiting","Calibrated")</f>
        <v/>
      </c>
      <c r="O184" s="2" t="n">
        <v>10300298</v>
      </c>
      <c r="P184" s="2" t="inlineStr">
        <is>
          <t>ZM06</t>
        </is>
      </c>
      <c r="Q184" s="2" t="inlineStr">
        <is>
          <t>OK</t>
        </is>
      </c>
      <c r="R184" s="28" t="n"/>
      <c r="S184" s="28" t="n"/>
      <c r="T184" s="29" t="n"/>
    </row>
    <row r="185" ht="35.1" customFormat="1" customHeight="1" s="5">
      <c r="A185" s="17" t="n">
        <v>183</v>
      </c>
      <c r="B185" s="17" t="inlineStr">
        <is>
          <t>KIPP11</t>
        </is>
      </c>
      <c r="C185" s="14" t="inlineStr">
        <is>
          <t>11MBH20CP008</t>
        </is>
      </c>
      <c r="D185" s="14" t="inlineStr">
        <is>
          <t>GT CARR COOLING AIR PT</t>
        </is>
      </c>
      <c r="E185" s="84" t="n">
        <v>46041</v>
      </c>
      <c r="F185" s="75" t="n">
        <v>-137.89</v>
      </c>
      <c r="G185" s="75" t="n">
        <v>137.89</v>
      </c>
      <c r="H185" s="39" t="n">
        <v>0</v>
      </c>
      <c r="I185" s="39" t="n">
        <v>15</v>
      </c>
      <c r="J185" s="4" t="inlineStr">
        <is>
          <t>Bar</t>
        </is>
      </c>
      <c r="K185" s="19" t="inlineStr">
        <is>
          <t>ROSEMOUNT</t>
        </is>
      </c>
      <c r="L185" s="19" t="inlineStr">
        <is>
          <t>3051CG</t>
        </is>
      </c>
      <c r="M185" s="20" t="n">
        <v>9825263</v>
      </c>
      <c r="N185" s="2">
        <f>IF(E185="","Waiting","Calibrated")</f>
        <v/>
      </c>
      <c r="O185" s="2" t="n">
        <v>10300345</v>
      </c>
      <c r="P185" s="2" t="inlineStr">
        <is>
          <t>ZM06</t>
        </is>
      </c>
      <c r="Q185" s="2" t="inlineStr">
        <is>
          <t>OK</t>
        </is>
      </c>
      <c r="R185" s="28" t="n"/>
      <c r="S185" s="28" t="n"/>
      <c r="T185" s="29" t="n"/>
    </row>
    <row r="186" ht="35.1" customFormat="1" customHeight="1" s="5">
      <c r="A186" s="17" t="n">
        <v>184</v>
      </c>
      <c r="B186" s="17" t="inlineStr">
        <is>
          <t>KIPP11</t>
        </is>
      </c>
      <c r="C186" s="14" t="inlineStr">
        <is>
          <t>11MBH20CP009</t>
        </is>
      </c>
      <c r="D186" s="14" t="inlineStr">
        <is>
          <t>GT CARR COOLING AIR PT</t>
        </is>
      </c>
      <c r="E186" s="84" t="n">
        <v>46041</v>
      </c>
      <c r="F186" s="75" t="n">
        <v>-137.89</v>
      </c>
      <c r="G186" s="75" t="n">
        <v>137.89</v>
      </c>
      <c r="H186" s="39" t="n">
        <v>0</v>
      </c>
      <c r="I186" s="39" t="n">
        <v>15</v>
      </c>
      <c r="J186" s="4" t="inlineStr">
        <is>
          <t>Bar</t>
        </is>
      </c>
      <c r="K186" s="19" t="inlineStr">
        <is>
          <t>ROSEMOUNT</t>
        </is>
      </c>
      <c r="L186" s="19" t="inlineStr">
        <is>
          <t>3051CG</t>
        </is>
      </c>
      <c r="M186" s="20" t="n">
        <v>9825264</v>
      </c>
      <c r="N186" s="2">
        <f>IF(E186="","Waiting","Calibrated")</f>
        <v/>
      </c>
      <c r="O186" s="2" t="n">
        <v>10300346</v>
      </c>
      <c r="P186" s="2" t="inlineStr">
        <is>
          <t>ZM06</t>
        </is>
      </c>
      <c r="Q186" s="2" t="inlineStr">
        <is>
          <t>OK</t>
        </is>
      </c>
      <c r="R186" s="28" t="n"/>
      <c r="S186" s="28" t="n"/>
      <c r="T186" s="29" t="n"/>
    </row>
    <row r="187" ht="35.1" customFormat="1" customHeight="1" s="5">
      <c r="A187" s="17" t="n">
        <v>185</v>
      </c>
      <c r="B187" s="17" t="inlineStr">
        <is>
          <t>KIPP11</t>
        </is>
      </c>
      <c r="C187" s="14" t="inlineStr">
        <is>
          <t>11MBH30CL001</t>
        </is>
      </c>
      <c r="D187" s="14" t="inlineStr">
        <is>
          <t>LP OTC DIFFRENTIAL LEVEL TRANSMITTER</t>
        </is>
      </c>
      <c r="E187" s="84" t="n">
        <v>46041</v>
      </c>
      <c r="F187" s="75" t="n">
        <v>-5</v>
      </c>
      <c r="G187" s="75" t="n">
        <v>5</v>
      </c>
      <c r="H187" s="39" t="n">
        <v>0</v>
      </c>
      <c r="I187" s="39" t="n">
        <v>-2</v>
      </c>
      <c r="J187" s="4" t="inlineStr">
        <is>
          <t>Bar</t>
        </is>
      </c>
      <c r="K187" s="33" t="inlineStr">
        <is>
          <t>YOKOGAWA</t>
        </is>
      </c>
      <c r="L187" s="33" t="inlineStr">
        <is>
          <t>EJA110E</t>
        </is>
      </c>
      <c r="M187" s="20" t="inlineStr">
        <is>
          <t>91S313549</t>
        </is>
      </c>
      <c r="N187" s="2">
        <f>IF(E187="","Waiting","Calibrated")</f>
        <v/>
      </c>
      <c r="O187" s="2" t="n">
        <v>10300347</v>
      </c>
      <c r="P187" s="2" t="inlineStr">
        <is>
          <t>ZM06</t>
        </is>
      </c>
      <c r="Q187" s="2" t="inlineStr">
        <is>
          <t>OK</t>
        </is>
      </c>
      <c r="R187" s="28" t="n"/>
      <c r="S187" s="28" t="n"/>
      <c r="T187" s="29" t="n"/>
    </row>
    <row r="188" ht="35.1" customFormat="1" customHeight="1" s="5">
      <c r="A188" s="17" t="n">
        <v>186</v>
      </c>
      <c r="B188" s="17" t="inlineStr">
        <is>
          <t>KIPP11</t>
        </is>
      </c>
      <c r="C188" s="14" t="inlineStr">
        <is>
          <t>11MBH30CL002</t>
        </is>
      </c>
      <c r="D188" s="14" t="inlineStr">
        <is>
          <t>LP OTC DIFFRENTIAL LEVEL TRANSMITTER</t>
        </is>
      </c>
      <c r="E188" s="84" t="n">
        <v>46041</v>
      </c>
      <c r="F188" s="75" t="n">
        <v>-5</v>
      </c>
      <c r="G188" s="75" t="n">
        <v>5</v>
      </c>
      <c r="H188" s="39" t="n">
        <v>0</v>
      </c>
      <c r="I188" s="39" t="n">
        <v>-2</v>
      </c>
      <c r="J188" s="4" t="inlineStr">
        <is>
          <t>Bar</t>
        </is>
      </c>
      <c r="K188" s="33" t="inlineStr">
        <is>
          <t>YOKOGAWA</t>
        </is>
      </c>
      <c r="L188" s="33" t="inlineStr">
        <is>
          <t>EJA110E</t>
        </is>
      </c>
      <c r="M188" s="20" t="inlineStr">
        <is>
          <t>91S313550</t>
        </is>
      </c>
      <c r="N188" s="2">
        <f>IF(E188="","Waiting","Calibrated")</f>
        <v/>
      </c>
      <c r="O188" s="2" t="n">
        <v>10300363</v>
      </c>
      <c r="P188" s="2" t="inlineStr">
        <is>
          <t>ZM06</t>
        </is>
      </c>
      <c r="Q188" s="2" t="inlineStr">
        <is>
          <t>OK</t>
        </is>
      </c>
      <c r="R188" s="28" t="n"/>
      <c r="S188" s="28" t="n"/>
      <c r="T188" s="29" t="n"/>
    </row>
    <row r="189" ht="35.1" customFormat="1" customHeight="1" s="5">
      <c r="A189" s="17" t="n">
        <v>187</v>
      </c>
      <c r="B189" s="17" t="inlineStr">
        <is>
          <t>KIPP11</t>
        </is>
      </c>
      <c r="C189" s="14" t="inlineStr">
        <is>
          <t>11MBH30CP003</t>
        </is>
      </c>
      <c r="D189" s="14" t="inlineStr">
        <is>
          <t>P SEV COMBUSTOR PLENUM/KA01</t>
        </is>
      </c>
      <c r="E189" s="84" t="n">
        <v>46041</v>
      </c>
      <c r="F189" s="75" t="n">
        <v>-137.89</v>
      </c>
      <c r="G189" s="75" t="n">
        <v>137.89</v>
      </c>
      <c r="H189" s="39" t="n">
        <v>0</v>
      </c>
      <c r="I189" s="39" t="n">
        <v>25</v>
      </c>
      <c r="J189" s="4" t="inlineStr">
        <is>
          <t>Bar</t>
        </is>
      </c>
      <c r="K189" s="33" t="inlineStr">
        <is>
          <t>ROSEMOUNT</t>
        </is>
      </c>
      <c r="L189" s="33" t="inlineStr">
        <is>
          <t>3051 PT</t>
        </is>
      </c>
      <c r="M189" s="20" t="n">
        <v>9825259</v>
      </c>
      <c r="N189" s="2">
        <f>IF(E189="","Waiting","Calibrated")</f>
        <v/>
      </c>
      <c r="O189" s="2" t="n">
        <v>10300364</v>
      </c>
      <c r="P189" s="2" t="inlineStr">
        <is>
          <t>ZM06</t>
        </is>
      </c>
      <c r="Q189" s="2" t="inlineStr">
        <is>
          <t>OK</t>
        </is>
      </c>
      <c r="R189" s="28" t="n"/>
      <c r="S189" s="28" t="n"/>
      <c r="T189" s="29" t="n"/>
    </row>
    <row r="190" ht="35.1" customFormat="1" customHeight="1" s="5">
      <c r="A190" s="17" t="n">
        <v>188</v>
      </c>
      <c r="B190" s="17" t="inlineStr">
        <is>
          <t>KIPP11</t>
        </is>
      </c>
      <c r="C190" s="14" t="inlineStr">
        <is>
          <t>11MBH30CP004</t>
        </is>
      </c>
      <c r="D190" s="14" t="inlineStr">
        <is>
          <t>P SEV COMBUSTOR PLENUM/KA01</t>
        </is>
      </c>
      <c r="E190" s="84" t="n">
        <v>46041</v>
      </c>
      <c r="F190" s="75" t="n">
        <v>-137.89</v>
      </c>
      <c r="G190" s="75" t="n">
        <v>137.89</v>
      </c>
      <c r="H190" s="39" t="n">
        <v>0</v>
      </c>
      <c r="I190" s="39" t="n">
        <v>25</v>
      </c>
      <c r="J190" s="4" t="inlineStr">
        <is>
          <t>Bar</t>
        </is>
      </c>
      <c r="K190" s="33" t="inlineStr">
        <is>
          <t>ROSEMOUNT</t>
        </is>
      </c>
      <c r="L190" s="33" t="inlineStr">
        <is>
          <t>3051 PT</t>
        </is>
      </c>
      <c r="M190" s="20" t="n">
        <v>9825260</v>
      </c>
      <c r="N190" s="2">
        <f>IF(E190="","Waiting","Calibrated")</f>
        <v/>
      </c>
      <c r="O190" s="2" t="n">
        <v>10300365</v>
      </c>
      <c r="P190" s="2" t="inlineStr">
        <is>
          <t>ZM06</t>
        </is>
      </c>
      <c r="Q190" s="2" t="inlineStr">
        <is>
          <t>OK</t>
        </is>
      </c>
      <c r="R190" s="28" t="n"/>
      <c r="S190" s="28" t="n"/>
      <c r="T190" s="29" t="n"/>
    </row>
    <row r="191" ht="35.1" customFormat="1" customHeight="1" s="5">
      <c r="A191" s="17" t="n">
        <v>189</v>
      </c>
      <c r="B191" s="17" t="inlineStr">
        <is>
          <t>KIPP11</t>
        </is>
      </c>
      <c r="C191" s="14" t="inlineStr">
        <is>
          <t>11MBH30CP005</t>
        </is>
      </c>
      <c r="D191" s="14" t="inlineStr">
        <is>
          <t>P SEV COMBUSTOR PLENUM/KA01</t>
        </is>
      </c>
      <c r="E191" s="84" t="n">
        <v>46041</v>
      </c>
      <c r="F191" s="75" t="n">
        <v>-137.89</v>
      </c>
      <c r="G191" s="75" t="n">
        <v>137.89</v>
      </c>
      <c r="H191" s="39" t="n">
        <v>0</v>
      </c>
      <c r="I191" s="39" t="n">
        <v>25</v>
      </c>
      <c r="J191" s="4" t="inlineStr">
        <is>
          <t>Bar</t>
        </is>
      </c>
      <c r="K191" s="33" t="inlineStr">
        <is>
          <t>ROSEMOUNT</t>
        </is>
      </c>
      <c r="L191" s="19" t="n">
        <v>3051</v>
      </c>
      <c r="M191" s="20" t="n">
        <v>9825261</v>
      </c>
      <c r="N191" s="2">
        <f>IF(E191="","Waiting","Calibrated")</f>
        <v/>
      </c>
      <c r="O191" s="2" t="n">
        <v>10300374</v>
      </c>
      <c r="P191" s="2" t="inlineStr">
        <is>
          <t>ZM06</t>
        </is>
      </c>
      <c r="Q191" s="2" t="inlineStr">
        <is>
          <t>OK</t>
        </is>
      </c>
      <c r="R191" s="28" t="n"/>
      <c r="S191" s="28" t="n"/>
      <c r="T191" s="29" t="n"/>
    </row>
    <row r="192" ht="35.1" customFormat="1" customHeight="1" s="5">
      <c r="A192" s="17" t="n">
        <v>190</v>
      </c>
      <c r="B192" s="17" t="inlineStr">
        <is>
          <t>KIPP11</t>
        </is>
      </c>
      <c r="C192" s="14" t="inlineStr">
        <is>
          <t>11MBH30CP015</t>
        </is>
      </c>
      <c r="D192" s="14" t="inlineStr">
        <is>
          <t>PRESSURE DIFF ACROSS LP AIR COOLER</t>
        </is>
      </c>
      <c r="E192" s="84" t="n">
        <v>46041</v>
      </c>
      <c r="F192" s="75" t="n">
        <v>-20.684</v>
      </c>
      <c r="G192" s="75" t="n">
        <v>20.684</v>
      </c>
      <c r="H192" s="39" t="n">
        <v>0</v>
      </c>
      <c r="I192" s="39" t="n">
        <v>4</v>
      </c>
      <c r="J192" s="4" t="inlineStr">
        <is>
          <t>Bar</t>
        </is>
      </c>
      <c r="K192" s="33" t="inlineStr">
        <is>
          <t>ROSEMOUNT</t>
        </is>
      </c>
      <c r="L192" s="33" t="inlineStr">
        <is>
          <t>3051 PT</t>
        </is>
      </c>
      <c r="M192" s="20" t="n">
        <v>9824811</v>
      </c>
      <c r="N192" s="2">
        <f>IF(E192="","Waiting","Calibrated")</f>
        <v/>
      </c>
      <c r="O192" s="2" t="n">
        <v>10300375</v>
      </c>
      <c r="P192" s="2" t="inlineStr">
        <is>
          <t>ZM06</t>
        </is>
      </c>
      <c r="Q192" s="2" t="inlineStr">
        <is>
          <t>OK</t>
        </is>
      </c>
      <c r="R192" s="28" t="n"/>
      <c r="S192" s="28" t="n"/>
      <c r="T192" s="29" t="n"/>
    </row>
    <row r="193" ht="35.1" customFormat="1" customHeight="1" s="5">
      <c r="A193" s="17" t="n">
        <v>191</v>
      </c>
      <c r="B193" s="17" t="inlineStr">
        <is>
          <t>KIPP11</t>
        </is>
      </c>
      <c r="C193" s="14" t="inlineStr">
        <is>
          <t>11MBH30CP020</t>
        </is>
      </c>
      <c r="D193" s="14" t="inlineStr">
        <is>
          <t>P QUENSCH WATER TO LP COOLER</t>
        </is>
      </c>
      <c r="E193" s="84" t="n">
        <v>46042</v>
      </c>
      <c r="F193" s="75" t="n">
        <v>-137.89</v>
      </c>
      <c r="G193" s="75" t="n">
        <v>137.89</v>
      </c>
      <c r="H193" s="39" t="n">
        <v>0</v>
      </c>
      <c r="I193" s="39" t="n">
        <v>30</v>
      </c>
      <c r="J193" s="4" t="inlineStr">
        <is>
          <t>Bar</t>
        </is>
      </c>
      <c r="K193" s="33" t="inlineStr">
        <is>
          <t>ROSEMOUNT</t>
        </is>
      </c>
      <c r="L193" s="33" t="inlineStr">
        <is>
          <t>3051 PT</t>
        </is>
      </c>
      <c r="M193" s="20" t="n">
        <v>9825287</v>
      </c>
      <c r="N193" s="2">
        <f>IF(E193="","Waiting","Calibrated")</f>
        <v/>
      </c>
      <c r="O193" s="2" t="n">
        <v>10300376</v>
      </c>
      <c r="P193" s="2" t="inlineStr">
        <is>
          <t>ZM06</t>
        </is>
      </c>
      <c r="Q193" s="2" t="inlineStr">
        <is>
          <t>OK</t>
        </is>
      </c>
      <c r="R193" s="28" t="n"/>
      <c r="S193" s="28" t="n"/>
      <c r="T193" s="29" t="n"/>
    </row>
    <row r="194" ht="35.1" customFormat="1" customHeight="1" s="5">
      <c r="A194" s="17" t="n">
        <v>192</v>
      </c>
      <c r="B194" s="17" t="inlineStr">
        <is>
          <t>KIPP11</t>
        </is>
      </c>
      <c r="C194" s="14" t="inlineStr">
        <is>
          <t>11MBH30CP021</t>
        </is>
      </c>
      <c r="D194" s="14" t="inlineStr">
        <is>
          <t>GT SEV COMBUSTOR LINER/KA01 PDT</t>
        </is>
      </c>
      <c r="E194" s="84" t="n">
        <v>46042</v>
      </c>
      <c r="F194" s="75" t="n">
        <v>-20.684</v>
      </c>
      <c r="G194" s="75" t="n">
        <v>20.684</v>
      </c>
      <c r="H194" s="39" t="n">
        <v>0</v>
      </c>
      <c r="I194" s="39" t="n">
        <v>5</v>
      </c>
      <c r="J194" s="4" t="inlineStr">
        <is>
          <t>Bar</t>
        </is>
      </c>
      <c r="K194" s="19" t="inlineStr">
        <is>
          <t>ROSEMOUNT</t>
        </is>
      </c>
      <c r="L194" s="19" t="inlineStr">
        <is>
          <t>3051CD</t>
        </is>
      </c>
      <c r="M194" s="20" t="n">
        <v>9825276</v>
      </c>
      <c r="N194" s="2">
        <f>IF(E194="","Waiting","Calibrated")</f>
        <v/>
      </c>
      <c r="O194" s="2" t="n">
        <v>10300420</v>
      </c>
      <c r="P194" s="2" t="inlineStr">
        <is>
          <t>ZM06</t>
        </is>
      </c>
      <c r="Q194" s="2" t="inlineStr">
        <is>
          <t>OK</t>
        </is>
      </c>
      <c r="R194" s="28" t="n"/>
      <c r="S194" s="28" t="n"/>
      <c r="T194" s="29" t="n"/>
    </row>
    <row r="195" ht="35.1" customFormat="1" customHeight="1" s="5">
      <c r="A195" s="17" t="n">
        <v>193</v>
      </c>
      <c r="B195" s="17" t="inlineStr">
        <is>
          <t>KIPP11</t>
        </is>
      </c>
      <c r="C195" s="14" t="inlineStr">
        <is>
          <t>11MBH30CP022</t>
        </is>
      </c>
      <c r="D195" s="14" t="inlineStr">
        <is>
          <t>P DIFF SEV COMBUSTOR LINER/KA01</t>
        </is>
      </c>
      <c r="E195" s="84" t="n">
        <v>46042</v>
      </c>
      <c r="F195" s="75" t="n">
        <v>-20.684</v>
      </c>
      <c r="G195" s="75" t="n">
        <v>20.684</v>
      </c>
      <c r="H195" s="39" t="n">
        <v>0</v>
      </c>
      <c r="I195" s="39" t="n">
        <v>5</v>
      </c>
      <c r="J195" s="4" t="inlineStr">
        <is>
          <t>Bar</t>
        </is>
      </c>
      <c r="K195" s="19" t="inlineStr">
        <is>
          <t>ROSEMOUNT</t>
        </is>
      </c>
      <c r="L195" s="19" t="inlineStr">
        <is>
          <t>3051CD</t>
        </is>
      </c>
      <c r="M195" s="20" t="n">
        <v>9825274</v>
      </c>
      <c r="N195" s="2">
        <f>IF(E195="","Waiting","Calibrated")</f>
        <v/>
      </c>
      <c r="O195" s="2" t="n">
        <v>10300469</v>
      </c>
      <c r="P195" s="2" t="inlineStr">
        <is>
          <t>ZM06</t>
        </is>
      </c>
      <c r="Q195" s="2" t="inlineStr">
        <is>
          <t>OK</t>
        </is>
      </c>
      <c r="R195" s="28" t="n"/>
      <c r="S195" s="28" t="n"/>
      <c r="T195" s="29" t="n"/>
    </row>
    <row r="196" ht="35.1" customFormat="1" customHeight="1" s="5">
      <c r="A196" s="17" t="n">
        <v>194</v>
      </c>
      <c r="B196" s="17" t="inlineStr">
        <is>
          <t>KIPP11</t>
        </is>
      </c>
      <c r="C196" s="14" t="inlineStr">
        <is>
          <t>11MBH30CP023</t>
        </is>
      </c>
      <c r="D196" s="14" t="inlineStr">
        <is>
          <t>P DIFF SEV COMBUSTOR LINER/KA01</t>
        </is>
      </c>
      <c r="E196" s="84" t="n">
        <v>46042</v>
      </c>
      <c r="F196" s="75" t="n">
        <v>-20.684</v>
      </c>
      <c r="G196" s="75" t="n">
        <v>20.684</v>
      </c>
      <c r="H196" s="39" t="n">
        <v>0</v>
      </c>
      <c r="I196" s="39" t="n">
        <v>5</v>
      </c>
      <c r="J196" s="4" t="inlineStr">
        <is>
          <t>Bar</t>
        </is>
      </c>
      <c r="K196" s="19" t="inlineStr">
        <is>
          <t>ROSEMOUNT</t>
        </is>
      </c>
      <c r="L196" s="19" t="inlineStr">
        <is>
          <t>3051CD</t>
        </is>
      </c>
      <c r="M196" s="20" t="n">
        <v>9825275</v>
      </c>
      <c r="N196" s="2">
        <f>IF(E196="","Waiting","Calibrated")</f>
        <v/>
      </c>
      <c r="O196" s="2" t="n">
        <v>10300469</v>
      </c>
      <c r="P196" s="2" t="inlineStr">
        <is>
          <t>ZM06</t>
        </is>
      </c>
      <c r="Q196" s="2" t="inlineStr">
        <is>
          <t>OK</t>
        </is>
      </c>
      <c r="R196" s="28" t="n"/>
      <c r="S196" s="28" t="n"/>
      <c r="T196" s="29" t="n"/>
    </row>
    <row r="197" ht="35.1" customFormat="1" customHeight="1" s="5">
      <c r="A197" s="17" t="n">
        <v>195</v>
      </c>
      <c r="B197" s="17" t="inlineStr">
        <is>
          <t>KIPP11</t>
        </is>
      </c>
      <c r="C197" s="14" t="inlineStr">
        <is>
          <t>11MBH40CL001</t>
        </is>
      </c>
      <c r="D197" s="14" t="inlineStr">
        <is>
          <t>HP OTC DIFFRENTIAL LEVEL TRANSMITTER</t>
        </is>
      </c>
      <c r="E197" s="84" t="n">
        <v>46042</v>
      </c>
      <c r="F197" s="75" t="n">
        <v>-5</v>
      </c>
      <c r="G197" s="75" t="n">
        <v>5</v>
      </c>
      <c r="H197" s="39" t="n">
        <v>0</v>
      </c>
      <c r="I197" s="39" t="n">
        <v>-2</v>
      </c>
      <c r="J197" s="4" t="inlineStr">
        <is>
          <t>Bar</t>
        </is>
      </c>
      <c r="K197" s="33" t="inlineStr">
        <is>
          <t>YOKOGAWA</t>
        </is>
      </c>
      <c r="L197" s="33" t="inlineStr">
        <is>
          <t>EJA110E</t>
        </is>
      </c>
      <c r="M197" s="20" t="inlineStr">
        <is>
          <t>91S313547</t>
        </is>
      </c>
      <c r="N197" s="2">
        <f>IF(E197="","Waiting","Calibrated")</f>
        <v/>
      </c>
      <c r="O197" s="2" t="n">
        <v>10300469</v>
      </c>
      <c r="P197" s="2" t="inlineStr">
        <is>
          <t>ZM06</t>
        </is>
      </c>
      <c r="Q197" s="2" t="inlineStr">
        <is>
          <t>OK</t>
        </is>
      </c>
      <c r="R197" s="28" t="n"/>
      <c r="S197" s="28" t="n"/>
      <c r="T197" s="29" t="n"/>
    </row>
    <row r="198" ht="35.1" customFormat="1" customHeight="1" s="5">
      <c r="A198" s="17" t="n">
        <v>196</v>
      </c>
      <c r="B198" s="17" t="inlineStr">
        <is>
          <t>KIPP11</t>
        </is>
      </c>
      <c r="C198" s="14" t="inlineStr">
        <is>
          <t>11MBH40CL002</t>
        </is>
      </c>
      <c r="D198" s="14" t="inlineStr">
        <is>
          <t>HP OTC DIFFRENTIAL LEVEL TRANSMITTER</t>
        </is>
      </c>
      <c r="E198" s="84" t="n">
        <v>46042</v>
      </c>
      <c r="F198" s="75" t="n">
        <v>-5</v>
      </c>
      <c r="G198" s="75" t="n">
        <v>5</v>
      </c>
      <c r="H198" s="39" t="n">
        <v>0</v>
      </c>
      <c r="I198" s="39" t="n">
        <v>-2</v>
      </c>
      <c r="J198" s="4" t="inlineStr">
        <is>
          <t>Bar</t>
        </is>
      </c>
      <c r="K198" s="33" t="inlineStr">
        <is>
          <t>YOKOGAWA</t>
        </is>
      </c>
      <c r="L198" s="33" t="inlineStr">
        <is>
          <t>EJA110E</t>
        </is>
      </c>
      <c r="M198" s="20" t="inlineStr">
        <is>
          <t>91S313548</t>
        </is>
      </c>
      <c r="N198" s="2">
        <f>IF(E198="","Waiting","Calibrated")</f>
        <v/>
      </c>
      <c r="O198" s="2" t="n">
        <v>10300478</v>
      </c>
      <c r="P198" s="2" t="inlineStr">
        <is>
          <t>ZM06</t>
        </is>
      </c>
      <c r="Q198" s="2" t="inlineStr">
        <is>
          <t>OK</t>
        </is>
      </c>
      <c r="R198" s="28" t="n"/>
      <c r="S198" s="28" t="n"/>
      <c r="T198" s="29" t="n"/>
    </row>
    <row r="199" ht="35.1" customFormat="1" customHeight="1" s="5">
      <c r="A199" s="17" t="n">
        <v>197</v>
      </c>
      <c r="B199" s="17" t="inlineStr">
        <is>
          <t>KIPP11</t>
        </is>
      </c>
      <c r="C199" s="14" t="inlineStr">
        <is>
          <t>11MBH40CP015</t>
        </is>
      </c>
      <c r="D199" s="14" t="inlineStr">
        <is>
          <t>DP HP OTC</t>
        </is>
      </c>
      <c r="E199" s="84" t="n">
        <v>46042</v>
      </c>
      <c r="F199" s="75" t="n">
        <v>-621.6</v>
      </c>
      <c r="G199" s="75" t="n">
        <v>621.6</v>
      </c>
      <c r="H199" s="39" t="n">
        <v>0</v>
      </c>
      <c r="I199" s="39" t="n">
        <v>500</v>
      </c>
      <c r="J199" s="4" t="inlineStr">
        <is>
          <t>mBar</t>
        </is>
      </c>
      <c r="K199" s="33" t="inlineStr">
        <is>
          <t>ROSEMOUNT</t>
        </is>
      </c>
      <c r="L199" s="33" t="inlineStr">
        <is>
          <t>3051 PT</t>
        </is>
      </c>
      <c r="M199" s="20" t="n">
        <v>9825290</v>
      </c>
      <c r="N199" s="2">
        <f>IF(E199="","Waiting","Calibrated")</f>
        <v/>
      </c>
      <c r="O199" s="2" t="n">
        <v>10300497</v>
      </c>
      <c r="P199" s="2" t="inlineStr">
        <is>
          <t>ZM06</t>
        </is>
      </c>
      <c r="Q199" s="2" t="inlineStr">
        <is>
          <t>OK</t>
        </is>
      </c>
      <c r="R199" s="28" t="n"/>
      <c r="S199" s="28" t="n"/>
      <c r="T199" s="29" t="n"/>
    </row>
    <row r="200" ht="35.1" customFormat="1" customHeight="1" s="5">
      <c r="A200" s="17" t="n">
        <v>198</v>
      </c>
      <c r="B200" s="17" t="inlineStr">
        <is>
          <t>KIPP11</t>
        </is>
      </c>
      <c r="C200" s="14" t="inlineStr">
        <is>
          <t>11MBH41CP102</t>
        </is>
      </c>
      <c r="D200" s="14" t="inlineStr">
        <is>
          <t>PRESSURE AFTER BLOW-OFF BYPASS VALVE</t>
        </is>
      </c>
      <c r="E200" s="84" t="n">
        <v>46042</v>
      </c>
      <c r="F200" s="75" t="n">
        <v>-137.89</v>
      </c>
      <c r="G200" s="75" t="n">
        <v>137.89</v>
      </c>
      <c r="H200" s="39" t="n">
        <v>0</v>
      </c>
      <c r="I200" s="39" t="n">
        <v>40</v>
      </c>
      <c r="J200" s="4" t="inlineStr">
        <is>
          <t>Bar</t>
        </is>
      </c>
      <c r="K200" s="33" t="inlineStr">
        <is>
          <t>ROSEMOUNT</t>
        </is>
      </c>
      <c r="L200" s="33" t="inlineStr">
        <is>
          <t>3051CD</t>
        </is>
      </c>
      <c r="M200" s="20" t="n">
        <v>9855800</v>
      </c>
      <c r="N200" s="2">
        <f>IF(E200="","Waiting","Calibrated")</f>
        <v/>
      </c>
      <c r="O200" s="2" t="n">
        <v>10300498</v>
      </c>
      <c r="P200" s="2" t="inlineStr">
        <is>
          <t>ZM06</t>
        </is>
      </c>
      <c r="Q200" s="2" t="inlineStr">
        <is>
          <t>OK</t>
        </is>
      </c>
      <c r="R200" s="28" t="n"/>
      <c r="S200" s="28" t="n"/>
      <c r="T200" s="29" t="n"/>
    </row>
    <row r="201" ht="35.1" customFormat="1" customHeight="1" s="5">
      <c r="A201" s="17" t="n">
        <v>199</v>
      </c>
      <c r="B201" s="17" t="inlineStr">
        <is>
          <t>KIPP11</t>
        </is>
      </c>
      <c r="C201" s="14" t="inlineStr">
        <is>
          <t>11MBH41CP103</t>
        </is>
      </c>
      <c r="D201" s="14" t="inlineStr">
        <is>
          <t>DP FLOW MEASUREMENT</t>
        </is>
      </c>
      <c r="E201" s="84" t="n">
        <v>46042</v>
      </c>
      <c r="F201" s="75" t="n">
        <v>-20.684</v>
      </c>
      <c r="G201" s="75" t="n">
        <v>20.684</v>
      </c>
      <c r="H201" s="39" t="n">
        <v>0</v>
      </c>
      <c r="I201" s="39" t="n">
        <v>10</v>
      </c>
      <c r="J201" s="4" t="inlineStr">
        <is>
          <t>Bar</t>
        </is>
      </c>
      <c r="K201" s="33" t="inlineStr">
        <is>
          <t>ROSEMOUNT</t>
        </is>
      </c>
      <c r="L201" s="33" t="inlineStr">
        <is>
          <t>3051CD</t>
        </is>
      </c>
      <c r="M201" s="20" t="n">
        <v>9855803</v>
      </c>
      <c r="N201" s="2">
        <f>IF(E201="","Waiting","Calibrated")</f>
        <v/>
      </c>
      <c r="O201" s="2" t="n">
        <v>10300499</v>
      </c>
      <c r="P201" s="2" t="inlineStr">
        <is>
          <t>ZM06</t>
        </is>
      </c>
      <c r="Q201" s="2" t="inlineStr">
        <is>
          <t>OK</t>
        </is>
      </c>
      <c r="R201" s="28" t="n"/>
      <c r="S201" s="28" t="n"/>
      <c r="T201" s="29" t="n"/>
    </row>
    <row r="202" ht="35.1" customFormat="1" customHeight="1" s="5">
      <c r="A202" s="17" t="n">
        <v>200</v>
      </c>
      <c r="B202" s="17" t="inlineStr">
        <is>
          <t>KIPP11</t>
        </is>
      </c>
      <c r="C202" s="14" t="inlineStr">
        <is>
          <t>11MBH52CP001</t>
        </is>
      </c>
      <c r="D202" s="14" t="inlineStr">
        <is>
          <t>EXHAUST BEARING FAN 1 PDI</t>
        </is>
      </c>
      <c r="E202" s="84" t="n">
        <v>46042</v>
      </c>
      <c r="F202" s="75" t="n">
        <v>-621.6</v>
      </c>
      <c r="G202" s="75" t="n">
        <v>621.6</v>
      </c>
      <c r="H202" s="39" t="n">
        <v>0</v>
      </c>
      <c r="I202" s="39" t="n">
        <v>400</v>
      </c>
      <c r="J202" s="4" t="inlineStr">
        <is>
          <t>mBar</t>
        </is>
      </c>
      <c r="K202" s="33" t="inlineStr">
        <is>
          <t>ROSEMOUNT</t>
        </is>
      </c>
      <c r="L202" s="33" t="inlineStr">
        <is>
          <t>3051 PT</t>
        </is>
      </c>
      <c r="M202" s="20" t="n">
        <v>9891371</v>
      </c>
      <c r="N202" s="2">
        <f>IF(E202="","Waiting","Calibrated")</f>
        <v/>
      </c>
      <c r="O202" s="2" t="n">
        <v>10300563</v>
      </c>
      <c r="P202" s="2" t="inlineStr">
        <is>
          <t>ZM06</t>
        </is>
      </c>
      <c r="Q202" s="2" t="inlineStr">
        <is>
          <t>OK</t>
        </is>
      </c>
      <c r="R202" s="28" t="n"/>
      <c r="S202" s="28" t="n"/>
      <c r="T202" s="29" t="n"/>
    </row>
    <row r="203" ht="35.1" customFormat="1" customHeight="1" s="5">
      <c r="A203" s="17" t="n">
        <v>201</v>
      </c>
      <c r="B203" s="17" t="inlineStr">
        <is>
          <t>KIPP11</t>
        </is>
      </c>
      <c r="C203" s="14" t="inlineStr">
        <is>
          <t>11MBH52CP002</t>
        </is>
      </c>
      <c r="D203" s="14" t="inlineStr">
        <is>
          <t>EXHAUST BEARING FAN 2 PDI</t>
        </is>
      </c>
      <c r="E203" s="84" t="n">
        <v>46042</v>
      </c>
      <c r="F203" s="75" t="n">
        <v>-621.6</v>
      </c>
      <c r="G203" s="75" t="n">
        <v>621.6</v>
      </c>
      <c r="H203" s="39" t="n">
        <v>0</v>
      </c>
      <c r="I203" s="39" t="n">
        <v>400</v>
      </c>
      <c r="J203" s="4" t="inlineStr">
        <is>
          <t>mBar</t>
        </is>
      </c>
      <c r="K203" s="33" t="inlineStr">
        <is>
          <t>ROSEMOUNT</t>
        </is>
      </c>
      <c r="L203" s="33" t="inlineStr">
        <is>
          <t>3051 PT</t>
        </is>
      </c>
      <c r="M203" s="20" t="n">
        <v>9891372</v>
      </c>
      <c r="N203" s="2">
        <f>IF(E203="","Waiting","Calibrated")</f>
        <v/>
      </c>
      <c r="O203" s="2" t="n">
        <v>10300564</v>
      </c>
      <c r="P203" s="2" t="inlineStr">
        <is>
          <t>ZM06</t>
        </is>
      </c>
      <c r="Q203" s="2" t="inlineStr">
        <is>
          <t>OK</t>
        </is>
      </c>
      <c r="R203" s="28" t="n"/>
      <c r="S203" s="28" t="n"/>
      <c r="T203" s="29" t="n"/>
    </row>
    <row r="204" ht="35.1" customFormat="1" customHeight="1" s="5">
      <c r="A204" s="17" t="n">
        <v>202</v>
      </c>
      <c r="B204" s="17" t="inlineStr">
        <is>
          <t>KIPP11</t>
        </is>
      </c>
      <c r="C204" s="14" t="inlineStr">
        <is>
          <t>11MBH60CP001</t>
        </is>
      </c>
      <c r="D204" s="14" t="inlineStr">
        <is>
          <t>DP CMAS FAN 1</t>
        </is>
      </c>
      <c r="E204" s="84" t="n">
        <v>46042</v>
      </c>
      <c r="F204" s="75" t="n">
        <v>-621.6</v>
      </c>
      <c r="G204" s="75" t="n">
        <v>621.6</v>
      </c>
      <c r="H204" s="39" t="n">
        <v>0</v>
      </c>
      <c r="I204" s="39" t="n">
        <v>50</v>
      </c>
      <c r="J204" s="4" t="inlineStr">
        <is>
          <t>mBar</t>
        </is>
      </c>
      <c r="K204" s="33" t="inlineStr">
        <is>
          <t>ROSEMOUNT</t>
        </is>
      </c>
      <c r="L204" s="33" t="inlineStr">
        <is>
          <t>3051 PT</t>
        </is>
      </c>
      <c r="M204" s="20" t="n">
        <v>9891369</v>
      </c>
      <c r="N204" s="2">
        <f>IF(E204="","Waiting","Calibrated")</f>
        <v/>
      </c>
      <c r="O204" s="2" t="n"/>
      <c r="P204" s="2" t="n"/>
      <c r="Q204" s="2" t="inlineStr">
        <is>
          <t>OK</t>
        </is>
      </c>
      <c r="R204" s="28" t="n"/>
      <c r="S204" s="28" t="n"/>
      <c r="T204" s="29" t="n"/>
    </row>
    <row r="205" ht="35.1" customFormat="1" customHeight="1" s="5">
      <c r="A205" s="17" t="n">
        <v>203</v>
      </c>
      <c r="B205" s="17" t="inlineStr">
        <is>
          <t>KIPP11</t>
        </is>
      </c>
      <c r="C205" s="14" t="inlineStr">
        <is>
          <t>11MBH60CP002</t>
        </is>
      </c>
      <c r="D205" s="14" t="inlineStr">
        <is>
          <t>DP CMAS FAN 2</t>
        </is>
      </c>
      <c r="E205" s="84" t="n">
        <v>46042</v>
      </c>
      <c r="F205" s="75" t="n">
        <v>-621.6</v>
      </c>
      <c r="G205" s="75" t="n">
        <v>621.6</v>
      </c>
      <c r="H205" s="39" t="n">
        <v>0</v>
      </c>
      <c r="I205" s="39" t="n">
        <v>50</v>
      </c>
      <c r="J205" s="4" t="inlineStr">
        <is>
          <t>mBar</t>
        </is>
      </c>
      <c r="K205" s="33" t="inlineStr">
        <is>
          <t>ROSEMOUNT</t>
        </is>
      </c>
      <c r="L205" s="33" t="inlineStr">
        <is>
          <t>3051 PT</t>
        </is>
      </c>
      <c r="M205" s="20" t="n">
        <v>9891370</v>
      </c>
      <c r="N205" s="2">
        <f>IF(E205="","Waiting","Calibrated")</f>
        <v/>
      </c>
      <c r="O205" s="2" t="n">
        <v>10300662</v>
      </c>
      <c r="P205" s="2" t="inlineStr">
        <is>
          <t>ZM06</t>
        </is>
      </c>
      <c r="Q205" s="2" t="inlineStr">
        <is>
          <t>OK</t>
        </is>
      </c>
      <c r="R205" s="28" t="n"/>
      <c r="S205" s="28" t="n"/>
      <c r="T205" s="29" t="n"/>
    </row>
    <row r="206" ht="35.1" customFormat="1" customHeight="1" s="5">
      <c r="A206" s="17" t="n">
        <v>204</v>
      </c>
      <c r="B206" s="17" t="inlineStr">
        <is>
          <t>KIPP11</t>
        </is>
      </c>
      <c r="C206" s="14" t="inlineStr">
        <is>
          <t>11MBH80CP011</t>
        </is>
      </c>
      <c r="D206" s="14" t="inlineStr">
        <is>
          <t>DIFFERENTIAL PRESSURE EV COMBUSTOR</t>
        </is>
      </c>
      <c r="E206" s="84" t="n">
        <v>46042</v>
      </c>
      <c r="F206" s="75" t="n">
        <v>-2.4864</v>
      </c>
      <c r="G206" s="75" t="n">
        <v>2.4864</v>
      </c>
      <c r="H206" s="39" t="n">
        <v>0</v>
      </c>
      <c r="I206" s="39" t="n">
        <v>2.5</v>
      </c>
      <c r="J206" s="4" t="inlineStr">
        <is>
          <t>Bar</t>
        </is>
      </c>
      <c r="K206" s="33" t="inlineStr">
        <is>
          <t>ROSEMOUNT</t>
        </is>
      </c>
      <c r="L206" s="33" t="inlineStr">
        <is>
          <t>3051 PT</t>
        </is>
      </c>
      <c r="M206" s="20" t="n">
        <v>9825280</v>
      </c>
      <c r="N206" s="2">
        <f>IF(E206="","Waiting","Calibrated")</f>
        <v/>
      </c>
      <c r="O206" s="2" t="n">
        <v>10303004</v>
      </c>
      <c r="P206" s="2" t="inlineStr">
        <is>
          <t>ZM06</t>
        </is>
      </c>
      <c r="Q206" s="2" t="inlineStr">
        <is>
          <t>OK</t>
        </is>
      </c>
      <c r="R206" s="28" t="n"/>
      <c r="S206" s="28" t="n"/>
      <c r="T206" s="29" t="n"/>
    </row>
    <row r="207" ht="35.1" customFormat="1" customHeight="1" s="5">
      <c r="A207" s="17" t="n">
        <v>205</v>
      </c>
      <c r="B207" s="17" t="inlineStr">
        <is>
          <t>KIPP11</t>
        </is>
      </c>
      <c r="C207" s="14" t="inlineStr">
        <is>
          <t>11MBH80CP012</t>
        </is>
      </c>
      <c r="D207" s="14" t="inlineStr">
        <is>
          <t>DIFFERENTIAL PRESSURE EV COMBUSTOR</t>
        </is>
      </c>
      <c r="E207" s="84" t="n">
        <v>46042</v>
      </c>
      <c r="F207" s="75" t="n">
        <v>-2.4864</v>
      </c>
      <c r="G207" s="75" t="n">
        <v>2.4864</v>
      </c>
      <c r="H207" s="39" t="n">
        <v>0</v>
      </c>
      <c r="I207" s="39" t="n">
        <v>2.5</v>
      </c>
      <c r="J207" s="4" t="inlineStr">
        <is>
          <t>Bar</t>
        </is>
      </c>
      <c r="K207" s="33" t="inlineStr">
        <is>
          <t>ROSEMOUNT</t>
        </is>
      </c>
      <c r="L207" s="33" t="inlineStr">
        <is>
          <t>3051 PT</t>
        </is>
      </c>
      <c r="M207" s="20" t="n">
        <v>9825281</v>
      </c>
      <c r="N207" s="2">
        <f>IF(E207="","Waiting","Calibrated")</f>
        <v/>
      </c>
      <c r="O207" s="2" t="n">
        <v>10301132</v>
      </c>
      <c r="P207" s="2" t="inlineStr">
        <is>
          <t>ZM06</t>
        </is>
      </c>
      <c r="Q207" s="2" t="inlineStr">
        <is>
          <t>OK</t>
        </is>
      </c>
      <c r="R207" s="28" t="n"/>
      <c r="S207" s="28" t="n"/>
      <c r="T207" s="29" t="n"/>
    </row>
    <row r="208" ht="35.1" customFormat="1" customHeight="1" s="5">
      <c r="A208" s="17" t="n">
        <v>206</v>
      </c>
      <c r="B208" s="17" t="inlineStr">
        <is>
          <t>KIPP11</t>
        </is>
      </c>
      <c r="C208" s="14" t="inlineStr">
        <is>
          <t>11MBH90CP001</t>
        </is>
      </c>
      <c r="D208" s="14" t="inlineStr">
        <is>
          <t>PRESSURE BEFORE ANTI-ICING CONTROL VALVE</t>
        </is>
      </c>
      <c r="E208" s="84" t="n">
        <v>46043</v>
      </c>
      <c r="F208" s="75" t="n">
        <v>-137.89</v>
      </c>
      <c r="G208" s="75" t="n">
        <v>137.89</v>
      </c>
      <c r="H208" s="39" t="n">
        <v>0</v>
      </c>
      <c r="I208" s="39" t="n">
        <v>40</v>
      </c>
      <c r="J208" s="4" t="inlineStr">
        <is>
          <t>Bar</t>
        </is>
      </c>
      <c r="K208" s="33" t="inlineStr">
        <is>
          <t>ROSEMOUNT</t>
        </is>
      </c>
      <c r="L208" s="33" t="inlineStr">
        <is>
          <t>3051 PT</t>
        </is>
      </c>
      <c r="M208" s="20" t="n">
        <v>9914214</v>
      </c>
      <c r="N208" s="2">
        <f>IF(E208="","Waiting","Calibrated")</f>
        <v/>
      </c>
      <c r="O208" s="2" t="n">
        <v>10302272</v>
      </c>
      <c r="P208" s="2" t="inlineStr">
        <is>
          <t>ZM06</t>
        </is>
      </c>
      <c r="Q208" s="2" t="inlineStr">
        <is>
          <t>OK</t>
        </is>
      </c>
      <c r="R208" s="28" t="n"/>
      <c r="S208" s="28" t="n"/>
      <c r="T208" s="29" t="n"/>
    </row>
    <row r="209" ht="35.1" customFormat="1" customHeight="1" s="5">
      <c r="A209" s="17" t="n">
        <v>207</v>
      </c>
      <c r="B209" s="17" t="inlineStr">
        <is>
          <t>KIPP11</t>
        </is>
      </c>
      <c r="C209" s="14" t="inlineStr">
        <is>
          <t>11MBH90CP004</t>
        </is>
      </c>
      <c r="D209" s="14" t="inlineStr">
        <is>
          <t>DP OVER ANTI ICING CV</t>
        </is>
      </c>
      <c r="E209" s="84" t="n">
        <v>46043</v>
      </c>
      <c r="F209" s="75" t="n">
        <v>-137.89</v>
      </c>
      <c r="G209" s="75" t="n">
        <v>137.89</v>
      </c>
      <c r="H209" s="39" t="n">
        <v>0</v>
      </c>
      <c r="I209" s="39" t="n">
        <v>40</v>
      </c>
      <c r="J209" s="4" t="inlineStr">
        <is>
          <t>Bar</t>
        </is>
      </c>
      <c r="K209" s="33" t="inlineStr">
        <is>
          <t>ROSEMOUNT</t>
        </is>
      </c>
      <c r="L209" s="33" t="inlineStr">
        <is>
          <t>3051 PT</t>
        </is>
      </c>
      <c r="M209" s="20" t="n">
        <v>9914216</v>
      </c>
      <c r="N209" s="2">
        <f>IF(E209="","Waiting","Calibrated")</f>
        <v/>
      </c>
      <c r="O209" s="2" t="n">
        <v>10302273</v>
      </c>
      <c r="P209" s="2" t="inlineStr">
        <is>
          <t>ZM06</t>
        </is>
      </c>
      <c r="Q209" s="2" t="inlineStr">
        <is>
          <t>OK</t>
        </is>
      </c>
      <c r="R209" s="28" t="n"/>
      <c r="S209" s="28" t="n"/>
      <c r="T209" s="29" t="n"/>
    </row>
    <row r="210" ht="35.1" customFormat="1" customHeight="1" s="5">
      <c r="A210" s="17" t="n">
        <v>208</v>
      </c>
      <c r="B210" s="17" t="inlineStr">
        <is>
          <t>KIPP11</t>
        </is>
      </c>
      <c r="C210" s="14" t="inlineStr">
        <is>
          <t>11MBL01CP011</t>
        </is>
      </c>
      <c r="D210" s="14" t="inlineStr">
        <is>
          <t>DP AIR INTK FLTR TOT</t>
        </is>
      </c>
      <c r="E210" s="84" t="n">
        <v>46043</v>
      </c>
      <c r="F210" s="75" t="n">
        <v>-621.6</v>
      </c>
      <c r="G210" s="75" t="n">
        <v>621.6</v>
      </c>
      <c r="H210" s="39" t="n">
        <v>0</v>
      </c>
      <c r="I210" s="39" t="n">
        <v>3000</v>
      </c>
      <c r="J210" s="4" t="inlineStr">
        <is>
          <t>Pa</t>
        </is>
      </c>
      <c r="K210" s="33" t="inlineStr">
        <is>
          <t>ROSEMOUNT</t>
        </is>
      </c>
      <c r="L210" s="33" t="inlineStr">
        <is>
          <t>3051 PT</t>
        </is>
      </c>
      <c r="M210" s="20" t="n">
        <v>9844811</v>
      </c>
      <c r="N210" s="2">
        <f>IF(E210="","Waiting","Calibrated")</f>
        <v/>
      </c>
      <c r="O210" s="2" t="n">
        <v>10302274</v>
      </c>
      <c r="P210" s="2" t="inlineStr">
        <is>
          <t>ZM06</t>
        </is>
      </c>
      <c r="Q210" s="2" t="inlineStr">
        <is>
          <t>OK</t>
        </is>
      </c>
      <c r="R210" s="28" t="n"/>
      <c r="S210" s="28" t="n"/>
      <c r="T210" s="29" t="n"/>
    </row>
    <row r="211" ht="35.1" customFormat="1" customHeight="1" s="5">
      <c r="A211" s="17" t="n">
        <v>209</v>
      </c>
      <c r="B211" s="17" t="inlineStr">
        <is>
          <t>KIPP11</t>
        </is>
      </c>
      <c r="C211" s="14" t="inlineStr">
        <is>
          <t>11MBL01CP012</t>
        </is>
      </c>
      <c r="D211" s="14" t="inlineStr">
        <is>
          <t>DP AIR INTK FLTR TOT</t>
        </is>
      </c>
      <c r="E211" s="84" t="n">
        <v>46043</v>
      </c>
      <c r="F211" s="75" t="n">
        <v>-621.6</v>
      </c>
      <c r="G211" s="75" t="n">
        <v>621.6</v>
      </c>
      <c r="H211" s="39" t="n">
        <v>0</v>
      </c>
      <c r="I211" s="39" t="n">
        <v>3000</v>
      </c>
      <c r="J211" s="4" t="inlineStr">
        <is>
          <t>Pa</t>
        </is>
      </c>
      <c r="K211" s="33" t="inlineStr">
        <is>
          <t>ROSEMOUNT</t>
        </is>
      </c>
      <c r="L211" s="33" t="inlineStr">
        <is>
          <t>3051 PT</t>
        </is>
      </c>
      <c r="M211" s="20" t="n">
        <v>9844812</v>
      </c>
      <c r="N211" s="2">
        <f>IF(E211="","Waiting","Calibrated")</f>
        <v/>
      </c>
      <c r="O211" s="2" t="n">
        <v>10302473</v>
      </c>
      <c r="P211" s="2" t="inlineStr">
        <is>
          <t>ZM06</t>
        </is>
      </c>
      <c r="Q211" s="2" t="inlineStr">
        <is>
          <t>OK</t>
        </is>
      </c>
      <c r="R211" s="28" t="n"/>
      <c r="S211" s="28" t="n"/>
      <c r="T211" s="29" t="n"/>
    </row>
    <row r="212" ht="35.1" customFormat="1" customHeight="1" s="5">
      <c r="A212" s="17" t="n">
        <v>210</v>
      </c>
      <c r="B212" s="17" t="inlineStr">
        <is>
          <t>KIPP11</t>
        </is>
      </c>
      <c r="C212" s="14" t="inlineStr">
        <is>
          <t>11MBL51CP001</t>
        </is>
      </c>
      <c r="D212" s="14" t="inlineStr">
        <is>
          <t>DP PRE FLTR STAGE</t>
        </is>
      </c>
      <c r="E212" s="84" t="n">
        <v>46043</v>
      </c>
      <c r="F212" s="75" t="n">
        <v>-621.6</v>
      </c>
      <c r="G212" s="75" t="n">
        <v>621.6</v>
      </c>
      <c r="H212" s="39" t="n">
        <v>0</v>
      </c>
      <c r="I212" s="39" t="n">
        <v>2500</v>
      </c>
      <c r="J212" s="4" t="inlineStr">
        <is>
          <t>Pa</t>
        </is>
      </c>
      <c r="K212" s="33" t="inlineStr">
        <is>
          <t>ROSEMOUNT</t>
        </is>
      </c>
      <c r="L212" s="33" t="inlineStr">
        <is>
          <t>3051 PT</t>
        </is>
      </c>
      <c r="M212" s="20" t="n">
        <v>9844805</v>
      </c>
      <c r="N212" s="2">
        <f>IF(E212="","Waiting","Calibrated")</f>
        <v/>
      </c>
      <c r="O212" s="2" t="n">
        <v>10302474</v>
      </c>
      <c r="P212" s="2" t="inlineStr">
        <is>
          <t>ZM06</t>
        </is>
      </c>
      <c r="Q212" s="2" t="inlineStr">
        <is>
          <t>OK</t>
        </is>
      </c>
      <c r="R212" s="28" t="n"/>
      <c r="S212" s="28" t="n"/>
      <c r="T212" s="29" t="n"/>
    </row>
    <row r="213" ht="35.1" customFormat="1" customHeight="1" s="5">
      <c r="A213" s="17" t="n">
        <v>211</v>
      </c>
      <c r="B213" s="17" t="inlineStr">
        <is>
          <t>KIPP11</t>
        </is>
      </c>
      <c r="C213" s="14" t="inlineStr">
        <is>
          <t>11MBL51CP002</t>
        </is>
      </c>
      <c r="D213" s="14" t="inlineStr">
        <is>
          <t>DP FINE FLTR STAGE</t>
        </is>
      </c>
      <c r="E213" s="84" t="n">
        <v>46043</v>
      </c>
      <c r="F213" s="75" t="n">
        <v>-621.6</v>
      </c>
      <c r="G213" s="75" t="n">
        <v>621.6</v>
      </c>
      <c r="H213" s="39" t="n">
        <v>0</v>
      </c>
      <c r="I213" s="39" t="n">
        <v>2500</v>
      </c>
      <c r="J213" s="4" t="inlineStr">
        <is>
          <t>Pa</t>
        </is>
      </c>
      <c r="K213" s="33" t="inlineStr">
        <is>
          <t>ROSEMOUNT</t>
        </is>
      </c>
      <c r="L213" s="33" t="inlineStr">
        <is>
          <t>3051 PT</t>
        </is>
      </c>
      <c r="M213" s="20" t="n">
        <v>9844806</v>
      </c>
      <c r="N213" s="2">
        <f>IF(E213="","Waiting","Calibrated")</f>
        <v/>
      </c>
      <c r="O213" s="2" t="n">
        <v>10302477</v>
      </c>
      <c r="P213" s="2" t="inlineStr">
        <is>
          <t>ZM06</t>
        </is>
      </c>
      <c r="Q213" s="2" t="inlineStr">
        <is>
          <t>OK</t>
        </is>
      </c>
      <c r="R213" s="28" t="n"/>
      <c r="S213" s="28" t="n"/>
      <c r="T213" s="29" t="n"/>
    </row>
    <row r="214" ht="35.1" customFormat="1" customHeight="1" s="5">
      <c r="A214" s="17" t="n">
        <v>212</v>
      </c>
      <c r="B214" s="17" t="inlineStr">
        <is>
          <t>KIPP11</t>
        </is>
      </c>
      <c r="C214" s="14" t="inlineStr">
        <is>
          <t>11MBL51CP012</t>
        </is>
      </c>
      <c r="D214" s="14" t="inlineStr">
        <is>
          <t>DP FINE FLTR STAGE</t>
        </is>
      </c>
      <c r="E214" s="84" t="n">
        <v>46043</v>
      </c>
      <c r="F214" s="75" t="n">
        <v>-621.6</v>
      </c>
      <c r="G214" s="75" t="n">
        <v>621.6</v>
      </c>
      <c r="H214" s="39" t="n">
        <v>0</v>
      </c>
      <c r="I214" s="39" t="n">
        <v>2500</v>
      </c>
      <c r="J214" s="4" t="inlineStr">
        <is>
          <t>Pa</t>
        </is>
      </c>
      <c r="K214" s="33" t="inlineStr">
        <is>
          <t>ROSEMOUNT</t>
        </is>
      </c>
      <c r="L214" s="33" t="inlineStr">
        <is>
          <t>3051 PT</t>
        </is>
      </c>
      <c r="M214" s="20" t="n">
        <v>9844807</v>
      </c>
      <c r="N214" s="2">
        <f>IF(E214="","Waiting","Calibrated")</f>
        <v/>
      </c>
      <c r="O214" s="2" t="n">
        <v>10302478</v>
      </c>
      <c r="P214" s="2" t="inlineStr">
        <is>
          <t>ZM06</t>
        </is>
      </c>
      <c r="Q214" s="2" t="inlineStr">
        <is>
          <t>OK</t>
        </is>
      </c>
      <c r="R214" s="28" t="n"/>
      <c r="S214" s="28" t="n"/>
      <c r="T214" s="29" t="n"/>
    </row>
    <row r="215" ht="35.1" customFormat="1" customHeight="1" s="5">
      <c r="A215" s="17" t="n">
        <v>213</v>
      </c>
      <c r="B215" s="17" t="inlineStr">
        <is>
          <t>KIPP11</t>
        </is>
      </c>
      <c r="C215" s="14" t="inlineStr">
        <is>
          <t>11MBL61CP010</t>
        </is>
      </c>
      <c r="D215" s="14" t="inlineStr">
        <is>
          <t>EVAP COOLER PUMP AFTER PRESSURE</t>
        </is>
      </c>
      <c r="E215" s="84" t="n">
        <v>46043</v>
      </c>
      <c r="F215" s="75" t="n">
        <v>-621.6</v>
      </c>
      <c r="G215" s="75" t="n">
        <v>621.6</v>
      </c>
      <c r="H215" s="39" t="n">
        <v>0</v>
      </c>
      <c r="I215" s="39" t="n">
        <v>2500</v>
      </c>
      <c r="J215" s="4" t="inlineStr">
        <is>
          <t>Pa</t>
        </is>
      </c>
      <c r="K215" s="19" t="inlineStr">
        <is>
          <t>ROSEMOUNT</t>
        </is>
      </c>
      <c r="L215" s="19" t="inlineStr">
        <is>
          <t>3051CD</t>
        </is>
      </c>
      <c r="M215" s="20" t="n">
        <v>9852954</v>
      </c>
      <c r="N215" s="2">
        <f>IF(E215="","Waiting","Calibrated")</f>
        <v/>
      </c>
      <c r="O215" s="2" t="n">
        <v>10302479</v>
      </c>
      <c r="P215" s="2" t="inlineStr">
        <is>
          <t>ZM06</t>
        </is>
      </c>
      <c r="Q215" s="2" t="inlineStr">
        <is>
          <t>OK</t>
        </is>
      </c>
      <c r="R215" s="28" t="n"/>
      <c r="S215" s="28" t="n"/>
      <c r="T215" s="29" t="n"/>
    </row>
    <row r="216" ht="35.1" customFormat="1" customHeight="1" s="5">
      <c r="A216" s="17" t="n">
        <v>214</v>
      </c>
      <c r="B216" s="17" t="inlineStr">
        <is>
          <t>KIPP11</t>
        </is>
      </c>
      <c r="C216" s="14" t="inlineStr">
        <is>
          <t>11MBP01CP003</t>
        </is>
      </c>
      <c r="D216" s="14" t="inlineStr">
        <is>
          <t>FUEL GAS FILTER DP</t>
        </is>
      </c>
      <c r="E216" s="84" t="n">
        <v>46043</v>
      </c>
      <c r="F216" s="75" t="n">
        <v>-2.4864</v>
      </c>
      <c r="G216" s="75" t="n">
        <v>2.4864</v>
      </c>
      <c r="H216" s="39" t="n">
        <v>0</v>
      </c>
      <c r="I216" s="39" t="n">
        <v>1.5</v>
      </c>
      <c r="J216" s="4" t="inlineStr">
        <is>
          <t>Bar</t>
        </is>
      </c>
      <c r="K216" s="33" t="inlineStr">
        <is>
          <t>ROSEMOUNT</t>
        </is>
      </c>
      <c r="L216" s="33" t="inlineStr">
        <is>
          <t>3051 PT</t>
        </is>
      </c>
      <c r="M216" s="20" t="n">
        <v>9789262</v>
      </c>
      <c r="N216" s="2">
        <f>IF(E216="","Waiting","Calibrated")</f>
        <v/>
      </c>
      <c r="O216" s="2" t="n">
        <v>10302480</v>
      </c>
      <c r="P216" s="2" t="inlineStr">
        <is>
          <t>ZM06</t>
        </is>
      </c>
      <c r="Q216" s="2" t="inlineStr">
        <is>
          <t>OK</t>
        </is>
      </c>
      <c r="R216" s="28" t="n"/>
      <c r="S216" s="28" t="n"/>
      <c r="T216" s="29" t="n"/>
    </row>
    <row r="217" ht="35.1" customFormat="1" customHeight="1" s="5">
      <c r="A217" s="17" t="n">
        <v>215</v>
      </c>
      <c r="B217" s="17" t="inlineStr">
        <is>
          <t>KIPP11</t>
        </is>
      </c>
      <c r="C217" s="14" t="inlineStr">
        <is>
          <t>11MBP05CP102</t>
        </is>
      </c>
      <c r="D217" s="14" t="inlineStr">
        <is>
          <t>EV FUEL GAS FLOW PT</t>
        </is>
      </c>
      <c r="E217" s="84" t="n">
        <v>46043</v>
      </c>
      <c r="F217" s="75" t="n">
        <v>0</v>
      </c>
      <c r="G217" s="75" t="n">
        <v>55.16</v>
      </c>
      <c r="H217" s="39" t="n">
        <v>0</v>
      </c>
      <c r="I217" s="39" t="n">
        <v>55</v>
      </c>
      <c r="J217" s="4" t="inlineStr">
        <is>
          <t>Bar</t>
        </is>
      </c>
      <c r="K217" s="33" t="inlineStr">
        <is>
          <t>ROSEMOUNT</t>
        </is>
      </c>
      <c r="L217" s="33" t="inlineStr">
        <is>
          <t>3051 PT</t>
        </is>
      </c>
      <c r="M217" s="20" t="n">
        <v>9846441</v>
      </c>
      <c r="N217" s="2">
        <f>IF(E217="","Waiting","Calibrated")</f>
        <v/>
      </c>
      <c r="O217" s="2" t="n">
        <v>10302481</v>
      </c>
      <c r="P217" s="2" t="inlineStr">
        <is>
          <t>ZM06</t>
        </is>
      </c>
      <c r="Q217" s="2" t="inlineStr">
        <is>
          <t>OK</t>
        </is>
      </c>
      <c r="R217" s="28" t="n"/>
      <c r="S217" s="28" t="n"/>
      <c r="T217" s="29" t="n"/>
    </row>
    <row r="218" ht="35.1" customFormat="1" customHeight="1" s="5">
      <c r="A218" s="17" t="n">
        <v>216</v>
      </c>
      <c r="B218" s="17" t="inlineStr">
        <is>
          <t>KIPP11</t>
        </is>
      </c>
      <c r="C218" s="14" t="inlineStr">
        <is>
          <t>11MBP41CP001</t>
        </is>
      </c>
      <c r="D218" s="14" t="inlineStr">
        <is>
          <t>P AFT TRIP SOV EV</t>
        </is>
      </c>
      <c r="E218" s="84" t="n">
        <v>46043</v>
      </c>
      <c r="F218" s="75" t="n">
        <v>-137.89</v>
      </c>
      <c r="G218" s="75" t="n">
        <v>137.89</v>
      </c>
      <c r="H218" s="39" t="n">
        <v>0</v>
      </c>
      <c r="I218" s="39" t="n">
        <v>70</v>
      </c>
      <c r="J218" s="4" t="inlineStr">
        <is>
          <t>Bar</t>
        </is>
      </c>
      <c r="K218" s="33" t="inlineStr">
        <is>
          <t>ROSEMOUNT</t>
        </is>
      </c>
      <c r="L218" s="33" t="inlineStr">
        <is>
          <t>3051 PT</t>
        </is>
      </c>
      <c r="M218" s="20" t="n">
        <v>9782024</v>
      </c>
      <c r="N218" s="2">
        <f>IF(E218="","Waiting","Calibrated")</f>
        <v/>
      </c>
      <c r="O218" s="2" t="n">
        <v>10302516</v>
      </c>
      <c r="P218" s="2" t="inlineStr">
        <is>
          <t>ZM06</t>
        </is>
      </c>
      <c r="Q218" s="2" t="inlineStr">
        <is>
          <t>OK</t>
        </is>
      </c>
      <c r="R218" s="28" t="n"/>
      <c r="S218" s="28" t="n"/>
      <c r="T218" s="29" t="n"/>
    </row>
    <row r="219" ht="35.1" customFormat="1" customHeight="1" s="5">
      <c r="A219" s="17" t="n">
        <v>217</v>
      </c>
      <c r="B219" s="17" t="inlineStr">
        <is>
          <t>KIPP11</t>
        </is>
      </c>
      <c r="C219" s="14" t="inlineStr">
        <is>
          <t>11MBP41CP004</t>
        </is>
      </c>
      <c r="D219" s="14" t="inlineStr">
        <is>
          <t>DP CV EV STG2</t>
        </is>
      </c>
      <c r="E219" s="84" t="n">
        <v>46043</v>
      </c>
      <c r="F219" s="75" t="n">
        <v>-137.89</v>
      </c>
      <c r="G219" s="75" t="n">
        <v>137.89</v>
      </c>
      <c r="H219" s="39" t="n">
        <v>0</v>
      </c>
      <c r="I219" s="39" t="n">
        <v>70</v>
      </c>
      <c r="J219" s="4" t="inlineStr">
        <is>
          <t>Bar</t>
        </is>
      </c>
      <c r="K219" s="33" t="inlineStr">
        <is>
          <t>ROSEMOUNT</t>
        </is>
      </c>
      <c r="L219" s="33" t="inlineStr">
        <is>
          <t>3051 PT</t>
        </is>
      </c>
      <c r="M219" s="20" t="n">
        <v>9782030</v>
      </c>
      <c r="N219" s="2">
        <f>IF(E219="","Waiting","Calibrated")</f>
        <v/>
      </c>
      <c r="O219" s="2" t="n">
        <v>10302517</v>
      </c>
      <c r="P219" s="2" t="inlineStr">
        <is>
          <t>ZM06</t>
        </is>
      </c>
      <c r="Q219" s="2" t="inlineStr">
        <is>
          <t>OK</t>
        </is>
      </c>
      <c r="R219" s="28" t="n"/>
      <c r="S219" s="28" t="n"/>
      <c r="T219" s="29" t="n"/>
    </row>
    <row r="220" ht="35.1" customFormat="1" customHeight="1" s="5">
      <c r="A220" s="17" t="n">
        <v>218</v>
      </c>
      <c r="B220" s="17" t="inlineStr">
        <is>
          <t>KIPP11</t>
        </is>
      </c>
      <c r="C220" s="14" t="inlineStr">
        <is>
          <t>11MBP41CP006</t>
        </is>
      </c>
      <c r="D220" s="14" t="inlineStr">
        <is>
          <t>P AFT CV FGAS EV</t>
        </is>
      </c>
      <c r="E220" s="84" t="n">
        <v>46043</v>
      </c>
      <c r="F220" s="75" t="n">
        <v>-137.89</v>
      </c>
      <c r="G220" s="75" t="n">
        <v>137.89</v>
      </c>
      <c r="H220" s="39" t="n">
        <v>0</v>
      </c>
      <c r="I220" s="39" t="n">
        <v>70</v>
      </c>
      <c r="J220" s="4" t="inlineStr">
        <is>
          <t>Bar</t>
        </is>
      </c>
      <c r="K220" s="33" t="inlineStr">
        <is>
          <t>ROSEMOUNT</t>
        </is>
      </c>
      <c r="L220" s="33" t="inlineStr">
        <is>
          <t>3051 PT</t>
        </is>
      </c>
      <c r="M220" s="20" t="n">
        <v>9782025</v>
      </c>
      <c r="N220" s="2">
        <f>IF(E220="","Waiting","Calibrated")</f>
        <v/>
      </c>
      <c r="O220" s="2" t="n">
        <v>10302520</v>
      </c>
      <c r="P220" s="2" t="inlineStr">
        <is>
          <t>ZM06</t>
        </is>
      </c>
      <c r="Q220" s="2" t="inlineStr">
        <is>
          <t>OK</t>
        </is>
      </c>
      <c r="R220" s="28" t="n"/>
      <c r="S220" s="28" t="n"/>
      <c r="T220" s="29" t="n"/>
    </row>
    <row r="221" ht="35.1" customFormat="1" customHeight="1" s="5">
      <c r="A221" s="17" t="n">
        <v>219</v>
      </c>
      <c r="B221" s="17" t="inlineStr">
        <is>
          <t>KIPP11</t>
        </is>
      </c>
      <c r="C221" s="14" t="inlineStr">
        <is>
          <t>11MBP42CP001</t>
        </is>
      </c>
      <c r="D221" s="14" t="inlineStr">
        <is>
          <t>P BEF FGAS TRIP SOV SEV</t>
        </is>
      </c>
      <c r="E221" s="84" t="n">
        <v>46043</v>
      </c>
      <c r="F221" s="75" t="n">
        <v>-137.89</v>
      </c>
      <c r="G221" s="75" t="n">
        <v>137.89</v>
      </c>
      <c r="H221" s="39" t="n">
        <v>0</v>
      </c>
      <c r="I221" s="39" t="n">
        <v>70</v>
      </c>
      <c r="J221" s="4" t="inlineStr">
        <is>
          <t>Bar</t>
        </is>
      </c>
      <c r="K221" s="33" t="inlineStr">
        <is>
          <t>ROSEMOUNT</t>
        </is>
      </c>
      <c r="L221" s="33" t="inlineStr">
        <is>
          <t>3051 PT</t>
        </is>
      </c>
      <c r="M221" s="20" t="n">
        <v>9782026</v>
      </c>
      <c r="N221" s="2">
        <f>IF(E221="","Waiting","Calibrated")</f>
        <v/>
      </c>
      <c r="O221" s="2" t="n">
        <v>10302559</v>
      </c>
      <c r="P221" s="2" t="inlineStr">
        <is>
          <t>ZM06</t>
        </is>
      </c>
      <c r="Q221" s="2" t="inlineStr">
        <is>
          <t>OK</t>
        </is>
      </c>
      <c r="R221" s="28" t="n"/>
      <c r="S221" s="28" t="n"/>
      <c r="T221" s="29" t="n"/>
    </row>
    <row r="222" ht="35.1" customFormat="1" customHeight="1" s="5">
      <c r="A222" s="17" t="n">
        <v>220</v>
      </c>
      <c r="B222" s="17" t="inlineStr">
        <is>
          <t>KIPP11</t>
        </is>
      </c>
      <c r="C222" s="14" t="inlineStr">
        <is>
          <t>11MBP42CP004</t>
        </is>
      </c>
      <c r="D222" s="14" t="inlineStr">
        <is>
          <t>DP CV FGAS SEV</t>
        </is>
      </c>
      <c r="E222" s="84" t="n">
        <v>46043</v>
      </c>
      <c r="F222" s="75" t="n">
        <v>-137.89</v>
      </c>
      <c r="G222" s="75" t="n">
        <v>137.89</v>
      </c>
      <c r="H222" s="39" t="n">
        <v>0</v>
      </c>
      <c r="I222" s="39" t="n">
        <v>70</v>
      </c>
      <c r="J222" s="4" t="inlineStr">
        <is>
          <t>Bar</t>
        </is>
      </c>
      <c r="K222" s="33" t="inlineStr">
        <is>
          <t>ROSEMOUNT</t>
        </is>
      </c>
      <c r="L222" s="33" t="inlineStr">
        <is>
          <t>3051 PT</t>
        </is>
      </c>
      <c r="M222" s="20" t="n">
        <v>9782031</v>
      </c>
      <c r="N222" s="2">
        <f>IF(E222="","Waiting","Calibrated")</f>
        <v/>
      </c>
      <c r="O222" s="2" t="n">
        <v>10302601</v>
      </c>
      <c r="P222" s="2" t="inlineStr">
        <is>
          <t>ZM06</t>
        </is>
      </c>
      <c r="Q222" s="2" t="inlineStr">
        <is>
          <t>OK</t>
        </is>
      </c>
      <c r="R222" s="28" t="n"/>
      <c r="S222" s="28" t="n"/>
      <c r="T222" s="29" t="n"/>
    </row>
    <row r="223" ht="35.1" customFormat="1" customHeight="1" s="5">
      <c r="A223" s="17" t="n">
        <v>221</v>
      </c>
      <c r="B223" s="17" t="inlineStr">
        <is>
          <t>KIPP11</t>
        </is>
      </c>
      <c r="C223" s="14" t="inlineStr">
        <is>
          <t>11MBP42CP006</t>
        </is>
      </c>
      <c r="D223" s="14" t="inlineStr">
        <is>
          <t>P AFT CV FGAS SEV</t>
        </is>
      </c>
      <c r="E223" s="84" t="n">
        <v>46043</v>
      </c>
      <c r="F223" s="75" t="n">
        <v>-137.89</v>
      </c>
      <c r="G223" s="75" t="n">
        <v>137.89</v>
      </c>
      <c r="H223" s="39" t="n">
        <v>0</v>
      </c>
      <c r="I223" s="39" t="n">
        <v>70</v>
      </c>
      <c r="J223" s="4" t="inlineStr">
        <is>
          <t>Bar</t>
        </is>
      </c>
      <c r="K223" s="33" t="inlineStr">
        <is>
          <t>ROSEMOUNT</t>
        </is>
      </c>
      <c r="L223" s="33" t="inlineStr">
        <is>
          <t>3051 PT</t>
        </is>
      </c>
      <c r="M223" s="20" t="n">
        <v>9782027</v>
      </c>
      <c r="N223" s="2">
        <f>IF(E223="","Waiting","Calibrated")</f>
        <v/>
      </c>
      <c r="O223" s="2" t="n">
        <v>10302606</v>
      </c>
      <c r="P223" s="2" t="inlineStr">
        <is>
          <t>ZM06</t>
        </is>
      </c>
      <c r="Q223" s="2" t="inlineStr">
        <is>
          <t>OK</t>
        </is>
      </c>
      <c r="R223" s="28" t="n"/>
      <c r="S223" s="28" t="n"/>
      <c r="T223" s="29" t="n"/>
    </row>
    <row r="224" ht="35.1" customFormat="1" customHeight="1" s="5">
      <c r="A224" s="17" t="n">
        <v>222</v>
      </c>
      <c r="B224" s="17" t="inlineStr">
        <is>
          <t>KIPP11</t>
        </is>
      </c>
      <c r="C224" s="14" t="inlineStr">
        <is>
          <t>11MBP43CP001</t>
        </is>
      </c>
      <c r="D224" s="14" t="inlineStr">
        <is>
          <t>P BFR CV EV STG1 FGAS</t>
        </is>
      </c>
      <c r="E224" s="84" t="n">
        <v>46043</v>
      </c>
      <c r="F224" s="75" t="n">
        <v>-137.89</v>
      </c>
      <c r="G224" s="75" t="n">
        <v>137.89</v>
      </c>
      <c r="H224" s="39" t="n">
        <v>0</v>
      </c>
      <c r="I224" s="39" t="n">
        <v>70</v>
      </c>
      <c r="J224" s="4" t="inlineStr">
        <is>
          <t>Bar</t>
        </is>
      </c>
      <c r="K224" s="33" t="inlineStr">
        <is>
          <t>ROSEMOUNT</t>
        </is>
      </c>
      <c r="L224" s="33" t="inlineStr">
        <is>
          <t>3051 PT</t>
        </is>
      </c>
      <c r="M224" s="20" t="n">
        <v>9782028</v>
      </c>
      <c r="N224" s="2">
        <f>IF(E224="","Waiting","Calibrated")</f>
        <v/>
      </c>
      <c r="O224" s="2" t="n">
        <v>10302607</v>
      </c>
      <c r="P224" s="2" t="inlineStr">
        <is>
          <t>ZM06</t>
        </is>
      </c>
      <c r="Q224" s="2" t="inlineStr">
        <is>
          <t>OK</t>
        </is>
      </c>
      <c r="R224" s="28" t="n"/>
      <c r="S224" s="28" t="n"/>
      <c r="T224" s="29" t="n"/>
    </row>
    <row r="225" ht="35.1" customFormat="1" customHeight="1" s="5">
      <c r="A225" s="17" t="n">
        <v>223</v>
      </c>
      <c r="B225" s="17" t="inlineStr">
        <is>
          <t>KIPP11</t>
        </is>
      </c>
      <c r="C225" s="14" t="inlineStr">
        <is>
          <t>11MBP43CP004</t>
        </is>
      </c>
      <c r="D225" s="14" t="inlineStr">
        <is>
          <t>DP CV EVSTG1 FGAS</t>
        </is>
      </c>
      <c r="E225" s="84" t="n">
        <v>46043</v>
      </c>
      <c r="F225" s="75" t="n">
        <v>-137.89</v>
      </c>
      <c r="G225" s="75" t="n">
        <v>137.89</v>
      </c>
      <c r="H225" s="39" t="n">
        <v>0</v>
      </c>
      <c r="I225" s="39" t="n">
        <v>70</v>
      </c>
      <c r="J225" s="4" t="inlineStr">
        <is>
          <t>Bar</t>
        </is>
      </c>
      <c r="K225" s="33" t="inlineStr">
        <is>
          <t>ROSEMOUNT</t>
        </is>
      </c>
      <c r="L225" s="33" t="inlineStr">
        <is>
          <t>3051 PT</t>
        </is>
      </c>
      <c r="M225" s="20" t="n">
        <v>9782032</v>
      </c>
      <c r="N225" s="2">
        <f>IF(E225="","Waiting","Calibrated")</f>
        <v/>
      </c>
      <c r="O225" s="2" t="n">
        <v>10302611</v>
      </c>
      <c r="P225" s="2" t="inlineStr">
        <is>
          <t>ZM06</t>
        </is>
      </c>
      <c r="Q225" s="2" t="inlineStr">
        <is>
          <t>OK</t>
        </is>
      </c>
      <c r="R225" s="28" t="n"/>
      <c r="S225" s="28" t="n"/>
      <c r="T225" s="29" t="n"/>
    </row>
    <row r="226" ht="35.1" customFormat="1" customHeight="1" s="5">
      <c r="A226" s="17" t="n">
        <v>224</v>
      </c>
      <c r="B226" s="17" t="inlineStr">
        <is>
          <t>KIPP11</t>
        </is>
      </c>
      <c r="C226" s="14" t="inlineStr">
        <is>
          <t>11MBP43CP006</t>
        </is>
      </c>
      <c r="D226" s="14" t="inlineStr">
        <is>
          <t>P AFT CV EV STG1 FGAS</t>
        </is>
      </c>
      <c r="E226" s="84" t="n">
        <v>46043</v>
      </c>
      <c r="F226" s="75" t="n">
        <v>-137.89</v>
      </c>
      <c r="G226" s="75" t="n">
        <v>137.89</v>
      </c>
      <c r="H226" s="39" t="n">
        <v>0</v>
      </c>
      <c r="I226" s="39" t="n">
        <v>70</v>
      </c>
      <c r="J226" s="4" t="inlineStr">
        <is>
          <t>Bar</t>
        </is>
      </c>
      <c r="K226" s="33" t="inlineStr">
        <is>
          <t>ROSEMOUNT</t>
        </is>
      </c>
      <c r="L226" s="33" t="inlineStr">
        <is>
          <t>3051 PT</t>
        </is>
      </c>
      <c r="M226" s="20" t="n">
        <v>9782029</v>
      </c>
      <c r="N226" s="2">
        <f>IF(E226="","Waiting","Calibrated")</f>
        <v/>
      </c>
      <c r="O226" s="2" t="n">
        <v>10302612</v>
      </c>
      <c r="P226" s="2" t="inlineStr">
        <is>
          <t>ZM06</t>
        </is>
      </c>
      <c r="Q226" s="2" t="inlineStr">
        <is>
          <t>OK</t>
        </is>
      </c>
      <c r="R226" s="28" t="n"/>
      <c r="S226" s="28" t="n"/>
      <c r="T226" s="29" t="n"/>
    </row>
    <row r="227" ht="35.1" customFormat="1" customHeight="1" s="5">
      <c r="A227" s="17" t="n">
        <v>225</v>
      </c>
      <c r="B227" s="17" t="inlineStr">
        <is>
          <t>KIPP11</t>
        </is>
      </c>
      <c r="C227" s="14" t="inlineStr">
        <is>
          <t>11MBV10CP001</t>
        </is>
      </c>
      <c r="D227" s="14" t="inlineStr">
        <is>
          <t>PRESSURE LUBE OIL TANK</t>
        </is>
      </c>
      <c r="E227" s="84" t="n">
        <v>46044</v>
      </c>
      <c r="F227" s="75" t="n">
        <v>-621.6</v>
      </c>
      <c r="G227" s="75" t="n">
        <v>621.6</v>
      </c>
      <c r="H227" s="39" t="n">
        <v>0</v>
      </c>
      <c r="I227" s="39" t="n">
        <v>60</v>
      </c>
      <c r="J227" s="4" t="inlineStr">
        <is>
          <t>mBar</t>
        </is>
      </c>
      <c r="K227" s="19" t="inlineStr">
        <is>
          <t>ROSEMOUNT</t>
        </is>
      </c>
      <c r="L227" s="19" t="inlineStr">
        <is>
          <t>3051 PT</t>
        </is>
      </c>
      <c r="M227" s="20" t="n">
        <v>9781969</v>
      </c>
      <c r="N227" s="2">
        <f>IF(E227="","Waiting","Calibrated")</f>
        <v/>
      </c>
      <c r="O227" s="2" t="n">
        <v>10302618</v>
      </c>
      <c r="P227" s="2" t="inlineStr">
        <is>
          <t>ZM06</t>
        </is>
      </c>
      <c r="Q227" s="2" t="inlineStr">
        <is>
          <t>OK</t>
        </is>
      </c>
      <c r="R227" s="28" t="n"/>
      <c r="S227" s="28" t="n"/>
      <c r="T227" s="29" t="n"/>
    </row>
    <row r="228" ht="35.1" customFormat="1" customHeight="1" s="5">
      <c r="A228" s="17" t="n">
        <v>226</v>
      </c>
      <c r="B228" s="17" t="inlineStr">
        <is>
          <t>KIPP11</t>
        </is>
      </c>
      <c r="C228" s="14" t="inlineStr">
        <is>
          <t>11MBV21CP001</t>
        </is>
      </c>
      <c r="D228" s="14" t="inlineStr">
        <is>
          <t>P AFT LUBE OIL PMP 1</t>
        </is>
      </c>
      <c r="E228" s="84" t="n">
        <v>46044</v>
      </c>
      <c r="F228" s="75" t="n">
        <v>-1.013</v>
      </c>
      <c r="G228" s="75" t="n">
        <v>10.342</v>
      </c>
      <c r="H228" s="39" t="n">
        <v>0</v>
      </c>
      <c r="I228" s="39" t="n">
        <v>10</v>
      </c>
      <c r="J228" s="4" t="inlineStr">
        <is>
          <t>Bar</t>
        </is>
      </c>
      <c r="K228" s="19" t="inlineStr">
        <is>
          <t>ROSEMOUNT</t>
        </is>
      </c>
      <c r="L228" s="19" t="inlineStr">
        <is>
          <t>2088 PT</t>
        </is>
      </c>
      <c r="M228" s="20" t="n">
        <v>9791817</v>
      </c>
      <c r="N228" s="2">
        <f>IF(E228="","Waiting","Calibrated")</f>
        <v/>
      </c>
      <c r="O228" s="2" t="n">
        <v>10302619</v>
      </c>
      <c r="P228" s="2" t="inlineStr">
        <is>
          <t>ZM06</t>
        </is>
      </c>
      <c r="Q228" s="2" t="inlineStr">
        <is>
          <t>OK</t>
        </is>
      </c>
      <c r="R228" s="28" t="n"/>
      <c r="S228" s="28" t="n"/>
      <c r="T228" s="29" t="n"/>
    </row>
    <row r="229" ht="35.1" customFormat="1" customHeight="1" s="5">
      <c r="A229" s="17" t="n">
        <v>227</v>
      </c>
      <c r="B229" s="17" t="inlineStr">
        <is>
          <t>KIPP11</t>
        </is>
      </c>
      <c r="C229" s="14" t="inlineStr">
        <is>
          <t>11MBV21CP002</t>
        </is>
      </c>
      <c r="D229" s="14" t="inlineStr">
        <is>
          <t>P AFT LUBE OIL PMP 2</t>
        </is>
      </c>
      <c r="E229" s="84" t="n">
        <v>46044</v>
      </c>
      <c r="F229" s="75" t="n">
        <v>-1.013</v>
      </c>
      <c r="G229" s="75" t="n">
        <v>10.342</v>
      </c>
      <c r="H229" s="39" t="n">
        <v>0</v>
      </c>
      <c r="I229" s="39" t="n">
        <v>10</v>
      </c>
      <c r="J229" s="4" t="inlineStr">
        <is>
          <t>Bar</t>
        </is>
      </c>
      <c r="K229" s="19" t="inlineStr">
        <is>
          <t>ROSEMOUNT</t>
        </is>
      </c>
      <c r="L229" s="19" t="inlineStr">
        <is>
          <t>2088 PT</t>
        </is>
      </c>
      <c r="M229" s="20" t="n">
        <v>9791818</v>
      </c>
      <c r="N229" s="2">
        <f>IF(E229="","Waiting","Calibrated")</f>
        <v/>
      </c>
      <c r="O229" s="2" t="n">
        <v>10302636</v>
      </c>
      <c r="P229" s="2" t="inlineStr">
        <is>
          <t>ZM06</t>
        </is>
      </c>
      <c r="Q229" s="2" t="inlineStr">
        <is>
          <t>OK</t>
        </is>
      </c>
      <c r="R229" s="28" t="n"/>
      <c r="S229" s="28" t="n"/>
      <c r="T229" s="29" t="n"/>
    </row>
    <row r="230" ht="35.1" customFormat="1" customHeight="1" s="5">
      <c r="A230" s="17" t="n">
        <v>228</v>
      </c>
      <c r="B230" s="17" t="inlineStr">
        <is>
          <t>KIPP11</t>
        </is>
      </c>
      <c r="C230" s="14" t="inlineStr">
        <is>
          <t>11MBV21CP003</t>
        </is>
      </c>
      <c r="D230" s="14" t="inlineStr">
        <is>
          <t>LUBE OIL FILTER DP</t>
        </is>
      </c>
      <c r="E230" s="84" t="n">
        <v>46044</v>
      </c>
      <c r="F230" s="75" t="n">
        <v>-2.4864</v>
      </c>
      <c r="G230" s="75" t="n">
        <v>2.4864</v>
      </c>
      <c r="H230" s="40" t="n">
        <v>-2.5</v>
      </c>
      <c r="I230" s="40" t="n">
        <v>2.5</v>
      </c>
      <c r="J230" s="4" t="inlineStr">
        <is>
          <t>Bar</t>
        </is>
      </c>
      <c r="K230" s="19" t="inlineStr">
        <is>
          <t>ROSEMOUNT</t>
        </is>
      </c>
      <c r="L230" s="19" t="inlineStr">
        <is>
          <t>3051 PT</t>
        </is>
      </c>
      <c r="M230" s="20" t="n">
        <v>9781970</v>
      </c>
      <c r="N230" s="2">
        <f>IF(E230="","Waiting","Calibrated")</f>
        <v/>
      </c>
      <c r="O230" s="2" t="n">
        <v>10302637</v>
      </c>
      <c r="P230" s="2" t="inlineStr">
        <is>
          <t>ZM06</t>
        </is>
      </c>
      <c r="Q230" s="2" t="inlineStr">
        <is>
          <t>OK</t>
        </is>
      </c>
      <c r="R230" s="28" t="n"/>
      <c r="S230" s="28" t="n"/>
      <c r="T230" s="29" t="n"/>
    </row>
    <row r="231" ht="35.1" customFormat="1" customHeight="1" s="5">
      <c r="A231" s="17" t="n">
        <v>229</v>
      </c>
      <c r="B231" s="17" t="inlineStr">
        <is>
          <t>KIPP11</t>
        </is>
      </c>
      <c r="C231" s="14" t="inlineStr">
        <is>
          <t>11MBV22CP001</t>
        </is>
      </c>
      <c r="D231" s="14" t="inlineStr">
        <is>
          <t>EMERGENCY LUBE OIL PUMP AFTER PRESSURE</t>
        </is>
      </c>
      <c r="E231" s="84" t="n">
        <v>46044</v>
      </c>
      <c r="F231" s="75" t="n">
        <v>-1.013</v>
      </c>
      <c r="G231" s="75" t="n">
        <v>10.342</v>
      </c>
      <c r="H231" s="39" t="n">
        <v>0</v>
      </c>
      <c r="I231" s="39" t="n">
        <v>10</v>
      </c>
      <c r="J231" s="4" t="inlineStr">
        <is>
          <t>Bar</t>
        </is>
      </c>
      <c r="K231" s="19" t="inlineStr">
        <is>
          <t>ROSEMOUNT</t>
        </is>
      </c>
      <c r="L231" s="19" t="inlineStr">
        <is>
          <t>2088 PT</t>
        </is>
      </c>
      <c r="M231" s="20" t="n">
        <v>9791819</v>
      </c>
      <c r="N231" s="2">
        <f>IF(E231="","Waiting","Calibrated")</f>
        <v/>
      </c>
      <c r="O231" s="2" t="n">
        <v>10302638</v>
      </c>
      <c r="P231" s="2" t="inlineStr">
        <is>
          <t>ZM06</t>
        </is>
      </c>
      <c r="Q231" s="2" t="inlineStr">
        <is>
          <t>OK</t>
        </is>
      </c>
      <c r="R231" s="28" t="n"/>
      <c r="S231" s="28" t="n"/>
      <c r="T231" s="29" t="n"/>
    </row>
    <row r="232" ht="35.1" customFormat="1" customHeight="1" s="5">
      <c r="A232" s="17" t="n">
        <v>230</v>
      </c>
      <c r="B232" s="17" t="inlineStr">
        <is>
          <t>KIPP11</t>
        </is>
      </c>
      <c r="C232" s="14" t="inlineStr">
        <is>
          <t>11MBV40CP001</t>
        </is>
      </c>
      <c r="D232" s="14" t="inlineStr">
        <is>
          <t>LUBE OIL HEADER PRESSURE</t>
        </is>
      </c>
      <c r="E232" s="84" t="n">
        <v>46044</v>
      </c>
      <c r="F232" s="75" t="n">
        <v>-1.013</v>
      </c>
      <c r="G232" s="75" t="n">
        <v>10.342</v>
      </c>
      <c r="H232" s="39" t="n">
        <v>0</v>
      </c>
      <c r="I232" s="39" t="n">
        <v>10</v>
      </c>
      <c r="J232" s="4" t="inlineStr">
        <is>
          <t>Bar</t>
        </is>
      </c>
      <c r="K232" s="19" t="inlineStr">
        <is>
          <t>ROSEMOUNT</t>
        </is>
      </c>
      <c r="L232" s="19" t="inlineStr">
        <is>
          <t>2088 PT</t>
        </is>
      </c>
      <c r="M232" s="20" t="n">
        <v>9791820</v>
      </c>
      <c r="N232" s="2">
        <f>IF(E232="","Waiting","Calibrated")</f>
        <v/>
      </c>
      <c r="O232" s="2" t="n">
        <v>10302783</v>
      </c>
      <c r="P232" s="2" t="inlineStr">
        <is>
          <t>ZM06</t>
        </is>
      </c>
      <c r="Q232" s="2" t="inlineStr">
        <is>
          <t>OK</t>
        </is>
      </c>
      <c r="R232" s="28" t="n"/>
      <c r="S232" s="28" t="n"/>
      <c r="T232" s="29" t="n"/>
    </row>
    <row r="233" ht="35.1" customFormat="1" customHeight="1" s="5">
      <c r="A233" s="17" t="n">
        <v>231</v>
      </c>
      <c r="B233" s="17" t="inlineStr">
        <is>
          <t>KIPP11</t>
        </is>
      </c>
      <c r="C233" s="14" t="inlineStr">
        <is>
          <t>11MBV40CP002</t>
        </is>
      </c>
      <c r="D233" s="14" t="inlineStr">
        <is>
          <t>LUBE OIL HEADER PRESSURE</t>
        </is>
      </c>
      <c r="E233" s="84" t="n">
        <v>46044</v>
      </c>
      <c r="F233" s="75" t="n">
        <v>-1.013</v>
      </c>
      <c r="G233" s="75" t="n">
        <v>10.342</v>
      </c>
      <c r="H233" s="39" t="n">
        <v>0</v>
      </c>
      <c r="I233" s="39" t="n">
        <v>10</v>
      </c>
      <c r="J233" s="4" t="inlineStr">
        <is>
          <t>Bar</t>
        </is>
      </c>
      <c r="K233" s="19" t="inlineStr">
        <is>
          <t>ROSEMOUNT</t>
        </is>
      </c>
      <c r="L233" s="19" t="inlineStr">
        <is>
          <t>2088 PT</t>
        </is>
      </c>
      <c r="M233" s="20" t="n">
        <v>9791821</v>
      </c>
      <c r="N233" s="2">
        <f>IF(E233="","Waiting","Calibrated")</f>
        <v/>
      </c>
      <c r="O233" s="2" t="n">
        <v>10302803</v>
      </c>
      <c r="P233" s="2" t="inlineStr">
        <is>
          <t>ZM06</t>
        </is>
      </c>
      <c r="Q233" s="2" t="inlineStr">
        <is>
          <t>OK</t>
        </is>
      </c>
      <c r="R233" s="28" t="n"/>
      <c r="S233" s="28" t="n"/>
      <c r="T233" s="29" t="n"/>
    </row>
    <row r="234" ht="35.1" customFormat="1" customHeight="1" s="5">
      <c r="A234" s="17" t="n">
        <v>232</v>
      </c>
      <c r="B234" s="17" t="inlineStr">
        <is>
          <t>KIPP11</t>
        </is>
      </c>
      <c r="C234" s="14" t="inlineStr">
        <is>
          <t>11MBV40CP003</t>
        </is>
      </c>
      <c r="D234" s="14" t="inlineStr">
        <is>
          <t>LUBE OIL HEADER PRESSURE</t>
        </is>
      </c>
      <c r="E234" s="84" t="n">
        <v>46044</v>
      </c>
      <c r="F234" s="75" t="n">
        <v>-1.013</v>
      </c>
      <c r="G234" s="75" t="n">
        <v>10.342</v>
      </c>
      <c r="H234" s="39" t="n">
        <v>0</v>
      </c>
      <c r="I234" s="39" t="n">
        <v>10</v>
      </c>
      <c r="J234" s="4" t="inlineStr">
        <is>
          <t>Bar</t>
        </is>
      </c>
      <c r="K234" s="19" t="inlineStr">
        <is>
          <t>ROSEMOUNT</t>
        </is>
      </c>
      <c r="L234" s="19" t="inlineStr">
        <is>
          <t>2088 PT</t>
        </is>
      </c>
      <c r="M234" s="20" t="n">
        <v>9791822</v>
      </c>
      <c r="N234" s="2">
        <f>IF(E234="","Waiting","Calibrated")</f>
        <v/>
      </c>
      <c r="O234" s="2" t="n">
        <v>10302850</v>
      </c>
      <c r="P234" s="2" t="inlineStr">
        <is>
          <t>ZM06</t>
        </is>
      </c>
      <c r="Q234" s="2" t="inlineStr">
        <is>
          <t>OK</t>
        </is>
      </c>
      <c r="R234" s="28" t="n"/>
      <c r="S234" s="28" t="n"/>
      <c r="T234" s="29" t="n"/>
    </row>
    <row r="235" ht="35.1" customFormat="1" customHeight="1" s="5">
      <c r="A235" s="17" t="n">
        <v>233</v>
      </c>
      <c r="B235" s="17" t="inlineStr">
        <is>
          <t>KIPP11</t>
        </is>
      </c>
      <c r="C235" s="14" t="inlineStr">
        <is>
          <t>11MBV40CP006</t>
        </is>
      </c>
      <c r="D235" s="14" t="inlineStr">
        <is>
          <t>P LUBE OIL HEADER 6  ( PRESSURE SWITCH )</t>
        </is>
      </c>
      <c r="E235" s="84" t="n">
        <v>46044</v>
      </c>
      <c r="F235" s="75" t="n">
        <v>0</v>
      </c>
      <c r="G235" s="75" t="n">
        <v>10</v>
      </c>
      <c r="H235" s="39" t="inlineStr">
        <is>
          <t>-</t>
        </is>
      </c>
      <c r="I235" s="39" t="n">
        <v>2.11</v>
      </c>
      <c r="J235" s="4" t="inlineStr">
        <is>
          <t>Bar</t>
        </is>
      </c>
      <c r="K235" s="19" t="inlineStr">
        <is>
          <t>Trafog</t>
        </is>
      </c>
      <c r="L235" s="19" t="inlineStr">
        <is>
          <t>Switch</t>
        </is>
      </c>
      <c r="M235" s="19" t="inlineStr">
        <is>
          <t>-</t>
        </is>
      </c>
      <c r="N235" s="2">
        <f>IF(E235="","Waiting","Calibrated")</f>
        <v/>
      </c>
      <c r="O235" s="2" t="n">
        <v>10302851</v>
      </c>
      <c r="P235" s="2" t="inlineStr">
        <is>
          <t>ZM06</t>
        </is>
      </c>
      <c r="Q235" s="2" t="inlineStr">
        <is>
          <t>OK</t>
        </is>
      </c>
      <c r="R235" s="28" t="n"/>
      <c r="S235" s="28" t="n"/>
      <c r="T235" s="29" t="n"/>
    </row>
    <row r="236" ht="35.1" customFormat="1" customHeight="1" s="5">
      <c r="A236" s="17" t="n">
        <v>234</v>
      </c>
      <c r="B236" s="17" t="inlineStr">
        <is>
          <t>KIPP11</t>
        </is>
      </c>
      <c r="C236" s="14" t="inlineStr">
        <is>
          <t>11MBX21CP001</t>
        </is>
      </c>
      <c r="D236" s="14" t="inlineStr">
        <is>
          <t>P AFT PWR OIL PMP 2</t>
        </is>
      </c>
      <c r="E236" s="84" t="n">
        <v>46044</v>
      </c>
      <c r="F236" s="75" t="n">
        <v>-1.01</v>
      </c>
      <c r="G236" s="75" t="n">
        <v>55.16</v>
      </c>
      <c r="H236" s="39" t="n">
        <v>0</v>
      </c>
      <c r="I236" s="39" t="n">
        <v>52</v>
      </c>
      <c r="J236" s="4" t="inlineStr">
        <is>
          <t>Bar</t>
        </is>
      </c>
      <c r="K236" s="19" t="inlineStr">
        <is>
          <t>ROSEMOUNT</t>
        </is>
      </c>
      <c r="L236" s="19" t="inlineStr">
        <is>
          <t>2088 PT</t>
        </is>
      </c>
      <c r="M236" s="20" t="n">
        <v>9791823</v>
      </c>
      <c r="N236" s="2">
        <f>IF(E236="","Waiting","Calibrated")</f>
        <v/>
      </c>
      <c r="O236" s="2" t="n">
        <v>10302852</v>
      </c>
      <c r="P236" s="2" t="inlineStr">
        <is>
          <t>ZM06</t>
        </is>
      </c>
      <c r="Q236" s="2" t="inlineStr">
        <is>
          <t>OK</t>
        </is>
      </c>
      <c r="R236" s="28" t="n"/>
      <c r="S236" s="28" t="n"/>
      <c r="T236" s="29" t="n"/>
    </row>
    <row r="237" ht="35.1" customFormat="1" customHeight="1" s="5">
      <c r="A237" s="17" t="n">
        <v>235</v>
      </c>
      <c r="B237" s="17" t="inlineStr">
        <is>
          <t>KIPP11</t>
        </is>
      </c>
      <c r="C237" s="14" t="inlineStr">
        <is>
          <t>11MBX21CP002</t>
        </is>
      </c>
      <c r="D237" s="14" t="inlineStr">
        <is>
          <t>P AFT PWR OIL PMP 1</t>
        </is>
      </c>
      <c r="E237" s="84" t="n">
        <v>46044</v>
      </c>
      <c r="F237" s="75" t="n">
        <v>-1.01</v>
      </c>
      <c r="G237" s="75" t="n">
        <v>55.16</v>
      </c>
      <c r="H237" s="39" t="n">
        <v>0</v>
      </c>
      <c r="I237" s="39" t="n">
        <v>52</v>
      </c>
      <c r="J237" s="4" t="inlineStr">
        <is>
          <t>Bar</t>
        </is>
      </c>
      <c r="K237" s="19" t="inlineStr">
        <is>
          <t>ROSEMOUNT</t>
        </is>
      </c>
      <c r="L237" s="19" t="inlineStr">
        <is>
          <t>2088 PT</t>
        </is>
      </c>
      <c r="M237" s="20" t="n">
        <v>9791824</v>
      </c>
      <c r="N237" s="2">
        <f>IF(E237="","Waiting","Calibrated")</f>
        <v/>
      </c>
      <c r="O237" s="2" t="n">
        <v>10302868</v>
      </c>
      <c r="P237" s="2" t="inlineStr">
        <is>
          <t>ZM06</t>
        </is>
      </c>
      <c r="Q237" s="2" t="inlineStr">
        <is>
          <t>OK</t>
        </is>
      </c>
      <c r="R237" s="28" t="n"/>
      <c r="S237" s="28" t="n"/>
      <c r="T237" s="29" t="n"/>
    </row>
    <row r="238" ht="35.1" customFormat="1" customHeight="1" s="5">
      <c r="A238" s="17" t="n">
        <v>236</v>
      </c>
      <c r="B238" s="17" t="inlineStr">
        <is>
          <t>KIPP11</t>
        </is>
      </c>
      <c r="C238" s="14" t="inlineStr">
        <is>
          <t>11MBX21CP010</t>
        </is>
      </c>
      <c r="D238" s="14" t="inlineStr">
        <is>
          <t>GT P/O TWIN FILTER PDT</t>
        </is>
      </c>
      <c r="E238" s="84" t="n">
        <v>46044</v>
      </c>
      <c r="F238" s="75" t="n">
        <v>-20.684</v>
      </c>
      <c r="G238" s="75" t="n">
        <v>20.684</v>
      </c>
      <c r="H238" s="39" t="n">
        <v>-2</v>
      </c>
      <c r="I238" s="39" t="n">
        <v>8</v>
      </c>
      <c r="J238" s="4" t="inlineStr">
        <is>
          <t>Bar</t>
        </is>
      </c>
      <c r="K238" s="19" t="inlineStr">
        <is>
          <t>ROSEMOUNT</t>
        </is>
      </c>
      <c r="L238" s="19" t="inlineStr">
        <is>
          <t>3051CD</t>
        </is>
      </c>
      <c r="M238" s="20" t="n">
        <v>9782033</v>
      </c>
      <c r="N238" s="2">
        <f>IF(E238="","Waiting","Calibrated")</f>
        <v/>
      </c>
      <c r="O238" s="2" t="n">
        <v>10302869</v>
      </c>
      <c r="P238" s="2" t="inlineStr">
        <is>
          <t>ZM06</t>
        </is>
      </c>
      <c r="Q238" s="2" t="inlineStr">
        <is>
          <t>OK</t>
        </is>
      </c>
      <c r="R238" s="28" t="n"/>
      <c r="S238" s="28" t="n"/>
      <c r="T238" s="29" t="n"/>
    </row>
    <row r="239" ht="35.1" customFormat="1" customHeight="1" s="5">
      <c r="A239" s="17" t="n">
        <v>237</v>
      </c>
      <c r="B239" s="17" t="inlineStr">
        <is>
          <t>KIPP11</t>
        </is>
      </c>
      <c r="C239" s="14" t="inlineStr">
        <is>
          <t>11MBX42CP001</t>
        </is>
      </c>
      <c r="D239" s="14" t="inlineStr">
        <is>
          <t>P HYDR SAFETY SYS</t>
        </is>
      </c>
      <c r="E239" s="84" t="n">
        <v>46044</v>
      </c>
      <c r="F239" s="75" t="n">
        <v>-137.89</v>
      </c>
      <c r="G239" s="75" t="n">
        <v>137.89</v>
      </c>
      <c r="H239" s="40" t="n">
        <v>0</v>
      </c>
      <c r="I239" s="40" t="inlineStr">
        <is>
          <t>60</t>
        </is>
      </c>
      <c r="J239" s="4" t="inlineStr">
        <is>
          <t>Bar</t>
        </is>
      </c>
      <c r="K239" s="19" t="inlineStr">
        <is>
          <t>ROSEMOUNT</t>
        </is>
      </c>
      <c r="L239" s="19" t="inlineStr">
        <is>
          <t>3051 PT</t>
        </is>
      </c>
      <c r="M239" s="19" t="n">
        <v>9782034</v>
      </c>
      <c r="N239" s="2">
        <f>IF(E239="","Waiting","Calibrated")</f>
        <v/>
      </c>
      <c r="O239" s="2" t="n">
        <v>10302870</v>
      </c>
      <c r="P239" s="2" t="inlineStr">
        <is>
          <t>ZM06</t>
        </is>
      </c>
      <c r="Q239" s="2" t="inlineStr">
        <is>
          <t>OK</t>
        </is>
      </c>
      <c r="R239" s="28" t="n"/>
      <c r="S239" s="28" t="n"/>
      <c r="T239" s="29" t="n"/>
    </row>
    <row r="240" ht="35.1" customFormat="1" customHeight="1" s="5">
      <c r="A240" s="17" t="n">
        <v>238</v>
      </c>
      <c r="B240" s="17" t="inlineStr">
        <is>
          <t>KIPP12</t>
        </is>
      </c>
      <c r="C240" s="14" t="inlineStr">
        <is>
          <t>12EKG40CP101</t>
        </is>
      </c>
      <c r="D240" s="14" t="inlineStr">
        <is>
          <t>FG PERFORMANCE HEATER SKID OUTLET PRESS</t>
        </is>
      </c>
      <c r="E240" s="84" t="n"/>
      <c r="F240" s="75" t="n">
        <v>-1</v>
      </c>
      <c r="G240" s="75" t="n">
        <v>100</v>
      </c>
      <c r="H240" s="40" t="n">
        <v>0</v>
      </c>
      <c r="I240" s="40" t="n">
        <v>61</v>
      </c>
      <c r="J240" s="4" t="inlineStr">
        <is>
          <t>Bar</t>
        </is>
      </c>
      <c r="K240" s="19" t="inlineStr">
        <is>
          <t>YOKOGAWA</t>
        </is>
      </c>
      <c r="L240" s="19" t="inlineStr">
        <is>
          <t>EJA530E</t>
        </is>
      </c>
      <c r="M240" s="19" t="inlineStr">
        <is>
          <t>91S313314</t>
        </is>
      </c>
      <c r="N240" s="2">
        <f>IF(E240="","Waiting","Calibrated")</f>
        <v/>
      </c>
      <c r="O240" s="2" t="n">
        <v>10302879</v>
      </c>
      <c r="P240" s="2" t="inlineStr">
        <is>
          <t>ZM06</t>
        </is>
      </c>
      <c r="Q240" s="2" t="n"/>
      <c r="R240" s="28" t="n"/>
      <c r="S240" s="28" t="n"/>
      <c r="T240" s="29" t="n"/>
    </row>
    <row r="241" ht="35.1" customFormat="1" customHeight="1" s="5">
      <c r="A241" s="17" t="n">
        <v>239</v>
      </c>
      <c r="B241" s="17" t="inlineStr">
        <is>
          <t>KIPP12</t>
        </is>
      </c>
      <c r="C241" s="14" t="inlineStr">
        <is>
          <t>12HAC22CF002</t>
        </is>
      </c>
      <c r="D241" s="14" t="inlineStr">
        <is>
          <t>LP FW FT 1</t>
        </is>
      </c>
      <c r="E241" s="84" t="n"/>
      <c r="F241" s="75" t="n">
        <v>-621.6</v>
      </c>
      <c r="G241" s="75" t="n">
        <v>621.6</v>
      </c>
      <c r="H241" s="40" t="n">
        <v>0</v>
      </c>
      <c r="I241" s="40" t="n">
        <v>316</v>
      </c>
      <c r="J241" s="4" t="inlineStr">
        <is>
          <t>mBar</t>
        </is>
      </c>
      <c r="K241" s="19" t="inlineStr">
        <is>
          <t>ROSEMOUNT</t>
        </is>
      </c>
      <c r="L241" s="19" t="inlineStr">
        <is>
          <t>2051 PT</t>
        </is>
      </c>
      <c r="M241" s="19" t="inlineStr">
        <is>
          <t>3576023</t>
        </is>
      </c>
      <c r="N241" s="2">
        <f>IF(E241="","Waiting","Calibrated")</f>
        <v/>
      </c>
      <c r="O241" s="2" t="n">
        <v>10302880</v>
      </c>
      <c r="P241" s="2" t="inlineStr">
        <is>
          <t>ZM06</t>
        </is>
      </c>
      <c r="Q241" s="2" t="inlineStr">
        <is>
          <t>OK</t>
        </is>
      </c>
      <c r="R241" s="28" t="n"/>
      <c r="S241" s="28" t="n"/>
      <c r="T241" s="29" t="n"/>
    </row>
    <row r="242" ht="35.1" customFormat="1" customHeight="1" s="5">
      <c r="A242" s="17" t="n">
        <v>240</v>
      </c>
      <c r="B242" s="17" t="inlineStr">
        <is>
          <t>KIPP12</t>
        </is>
      </c>
      <c r="C242" s="14" t="inlineStr">
        <is>
          <t>12HAC22CF003</t>
        </is>
      </c>
      <c r="D242" s="14" t="inlineStr">
        <is>
          <t>LP FW FT 2</t>
        </is>
      </c>
      <c r="E242" s="84" t="n"/>
      <c r="F242" s="75" t="n">
        <v>-621.6</v>
      </c>
      <c r="G242" s="75" t="n">
        <v>621.6</v>
      </c>
      <c r="H242" s="40" t="n">
        <v>0</v>
      </c>
      <c r="I242" s="40" t="n">
        <v>316</v>
      </c>
      <c r="J242" s="4" t="inlineStr">
        <is>
          <t>mBar</t>
        </is>
      </c>
      <c r="K242" s="19" t="inlineStr">
        <is>
          <t>ROSEMOUNT</t>
        </is>
      </c>
      <c r="L242" s="19" t="inlineStr">
        <is>
          <t>2051 PT</t>
        </is>
      </c>
      <c r="M242" s="19" t="n">
        <v>214485</v>
      </c>
      <c r="N242" s="2">
        <f>IF(E242="","Waiting","Calibrated")</f>
        <v/>
      </c>
      <c r="O242" s="2" t="n">
        <v>10302881</v>
      </c>
      <c r="P242" s="2" t="inlineStr">
        <is>
          <t>ZM06</t>
        </is>
      </c>
      <c r="Q242" s="2" t="inlineStr">
        <is>
          <t>OK</t>
        </is>
      </c>
      <c r="R242" s="28" t="n"/>
      <c r="S242" s="28" t="n"/>
      <c r="T242" s="29" t="n"/>
    </row>
    <row r="243" ht="35.1" customFormat="1" customHeight="1" s="5">
      <c r="A243" s="17" t="n">
        <v>241</v>
      </c>
      <c r="B243" s="17" t="inlineStr">
        <is>
          <t>KIPP12</t>
        </is>
      </c>
      <c r="C243" s="14" t="inlineStr">
        <is>
          <t>12HAC25CF002</t>
        </is>
      </c>
      <c r="D243" s="14" t="inlineStr">
        <is>
          <t>IP DRUM FW FLOW A</t>
        </is>
      </c>
      <c r="E243" s="84" t="n"/>
      <c r="F243" s="75" t="n">
        <v>-621.6</v>
      </c>
      <c r="G243" s="75" t="n">
        <v>621.6</v>
      </c>
      <c r="H243" s="39" t="n">
        <v>0</v>
      </c>
      <c r="I243" s="39" t="n">
        <v>460</v>
      </c>
      <c r="J243" s="4" t="inlineStr">
        <is>
          <t>mBar</t>
        </is>
      </c>
      <c r="K243" s="33" t="inlineStr">
        <is>
          <t>ROSEMOUNT</t>
        </is>
      </c>
      <c r="L243" s="33" t="inlineStr">
        <is>
          <t>2051 PT</t>
        </is>
      </c>
      <c r="M243" s="20" t="n">
        <v>214478</v>
      </c>
      <c r="N243" s="2">
        <f>IF(E243="","Waiting","Calibrated")</f>
        <v/>
      </c>
      <c r="O243" s="2" t="n">
        <v>10302924</v>
      </c>
      <c r="P243" s="2" t="inlineStr">
        <is>
          <t>ZM06</t>
        </is>
      </c>
      <c r="Q243" s="2" t="inlineStr">
        <is>
          <t>OK</t>
        </is>
      </c>
      <c r="R243" s="28" t="n"/>
      <c r="S243" s="28" t="n"/>
      <c r="T243" s="29" t="n"/>
    </row>
    <row r="244" ht="35.1" customFormat="1" customHeight="1" s="5">
      <c r="A244" s="17" t="n">
        <v>242</v>
      </c>
      <c r="B244" s="17" t="inlineStr">
        <is>
          <t>KIPP12</t>
        </is>
      </c>
      <c r="C244" s="14" t="inlineStr">
        <is>
          <t>12HAC25CF003</t>
        </is>
      </c>
      <c r="D244" s="14" t="inlineStr">
        <is>
          <t>IP DRUM FW FLOW B</t>
        </is>
      </c>
      <c r="E244" s="84" t="n"/>
      <c r="F244" s="75" t="n">
        <v>-621.6</v>
      </c>
      <c r="G244" s="75" t="n">
        <v>621.6</v>
      </c>
      <c r="H244" s="39" t="n">
        <v>0</v>
      </c>
      <c r="I244" s="39" t="n">
        <v>460</v>
      </c>
      <c r="J244" s="4" t="inlineStr">
        <is>
          <t>mBar</t>
        </is>
      </c>
      <c r="K244" s="33" t="inlineStr">
        <is>
          <t>ROSEMOUNT</t>
        </is>
      </c>
      <c r="L244" s="33" t="inlineStr">
        <is>
          <t>2051 PT</t>
        </is>
      </c>
      <c r="M244" s="20" t="n">
        <v>214479</v>
      </c>
      <c r="N244" s="2">
        <f>IF(E244="","Waiting","Calibrated")</f>
        <v/>
      </c>
      <c r="O244" s="2" t="n">
        <v>10302973</v>
      </c>
      <c r="P244" s="2" t="inlineStr">
        <is>
          <t>ZM06</t>
        </is>
      </c>
      <c r="Q244" s="2" t="inlineStr">
        <is>
          <t>OK</t>
        </is>
      </c>
      <c r="R244" s="28" t="n"/>
      <c r="S244" s="28" t="n"/>
      <c r="T244" s="29" t="n"/>
    </row>
    <row r="245" ht="35.1" customFormat="1" customHeight="1" s="5">
      <c r="A245" s="17" t="n">
        <v>243</v>
      </c>
      <c r="B245" s="17" t="inlineStr">
        <is>
          <t>KIPP12</t>
        </is>
      </c>
      <c r="C245" s="14" t="inlineStr">
        <is>
          <t>12HAC25CP001</t>
        </is>
      </c>
      <c r="D245" s="14" t="inlineStr">
        <is>
          <t>IP ECO O/L PT</t>
        </is>
      </c>
      <c r="E245" s="84" t="n"/>
      <c r="F245" s="75" t="n">
        <v>-1.01</v>
      </c>
      <c r="G245" s="75" t="n">
        <v>275.79</v>
      </c>
      <c r="H245" s="39" t="n">
        <v>0</v>
      </c>
      <c r="I245" s="39" t="n">
        <v>100</v>
      </c>
      <c r="J245" s="4" t="inlineStr">
        <is>
          <t>Bar</t>
        </is>
      </c>
      <c r="K245" s="33" t="inlineStr">
        <is>
          <t>ROSEMOUNT</t>
        </is>
      </c>
      <c r="L245" s="33" t="inlineStr">
        <is>
          <t>2051TG</t>
        </is>
      </c>
      <c r="M245" s="20" t="n">
        <v>210444</v>
      </c>
      <c r="N245" s="2">
        <f>IF(E245="","Waiting","Calibrated")</f>
        <v/>
      </c>
      <c r="O245" s="2" t="n">
        <v>10302982</v>
      </c>
      <c r="P245" s="2" t="inlineStr">
        <is>
          <t>ZM06</t>
        </is>
      </c>
      <c r="Q245" s="2" t="n"/>
      <c r="R245" s="28" t="n"/>
      <c r="S245" s="28" t="n"/>
      <c r="T245" s="29" t="n"/>
    </row>
    <row r="246" ht="35.1" customFormat="1" customHeight="1" s="5">
      <c r="A246" s="17" t="n">
        <v>244</v>
      </c>
      <c r="B246" s="17" t="inlineStr">
        <is>
          <t>KIPP12</t>
        </is>
      </c>
      <c r="C246" s="14" t="inlineStr">
        <is>
          <t>12HAC58CF002</t>
        </is>
      </c>
      <c r="D246" s="14" t="inlineStr">
        <is>
          <t>HP ECO O/L FT 1</t>
        </is>
      </c>
      <c r="E246" s="84" t="n"/>
      <c r="F246" s="75" t="n"/>
      <c r="G246" s="75" t="n"/>
      <c r="H246" s="39" t="n"/>
      <c r="I246" s="39" t="n"/>
      <c r="J246" s="4" t="n"/>
      <c r="K246" s="33" t="inlineStr">
        <is>
          <t>ROSEMOUNT</t>
        </is>
      </c>
      <c r="L246" s="33" t="n"/>
      <c r="M246" s="20" t="n"/>
      <c r="N246" s="2">
        <f>IF(E246="","Waiting","Calibrated")</f>
        <v/>
      </c>
      <c r="O246" s="2" t="n"/>
      <c r="P246" s="2" t="n"/>
      <c r="Q246" s="2" t="inlineStr">
        <is>
          <t>OK</t>
        </is>
      </c>
      <c r="R246" s="28" t="n"/>
      <c r="S246" s="28" t="n"/>
      <c r="T246" s="29" t="n"/>
    </row>
    <row r="247" ht="35.1" customFormat="1" customHeight="1" s="5">
      <c r="A247" s="17" t="n">
        <v>245</v>
      </c>
      <c r="B247" s="17" t="inlineStr">
        <is>
          <t>KIPP12</t>
        </is>
      </c>
      <c r="C247" s="14" t="inlineStr">
        <is>
          <t>12HAC58CF003</t>
        </is>
      </c>
      <c r="D247" s="14" t="inlineStr">
        <is>
          <t>HP ECO O/L FT 2</t>
        </is>
      </c>
      <c r="E247" s="84" t="n"/>
      <c r="F247" s="75" t="n"/>
      <c r="G247" s="75" t="n"/>
      <c r="H247" s="39" t="n"/>
      <c r="I247" s="39" t="n"/>
      <c r="J247" s="4" t="n"/>
      <c r="K247" s="33" t="inlineStr">
        <is>
          <t>ROSEMOUNT</t>
        </is>
      </c>
      <c r="L247" s="33" t="n"/>
      <c r="M247" s="20" t="n"/>
      <c r="N247" s="2">
        <f>IF(E247="","Waiting","Calibrated")</f>
        <v/>
      </c>
      <c r="O247" s="2" t="n"/>
      <c r="P247" s="2" t="n"/>
      <c r="Q247" s="2" t="inlineStr">
        <is>
          <t>OK</t>
        </is>
      </c>
      <c r="R247" s="28" t="n"/>
      <c r="S247" s="28" t="n"/>
      <c r="T247" s="29" t="n"/>
    </row>
    <row r="248" ht="35.1" customFormat="1" customHeight="1" s="5">
      <c r="A248" s="17" t="n">
        <v>246</v>
      </c>
      <c r="B248" s="17" t="inlineStr">
        <is>
          <t>KIPP12</t>
        </is>
      </c>
      <c r="C248" s="14" t="inlineStr">
        <is>
          <t>12HAC58CP001</t>
        </is>
      </c>
      <c r="D248" s="14" t="inlineStr">
        <is>
          <t>HP ECO O/L PT</t>
        </is>
      </c>
      <c r="E248" s="84" t="n"/>
      <c r="F248" s="75" t="n">
        <v>0</v>
      </c>
      <c r="G248" s="75" t="n">
        <v>689.7</v>
      </c>
      <c r="H248" s="39" t="n">
        <v>0</v>
      </c>
      <c r="I248" s="39" t="n">
        <v>300</v>
      </c>
      <c r="J248" s="4" t="inlineStr">
        <is>
          <t>Bar</t>
        </is>
      </c>
      <c r="K248" s="33" t="inlineStr">
        <is>
          <t>ROSEMOUNT</t>
        </is>
      </c>
      <c r="L248" s="33" t="inlineStr">
        <is>
          <t>2050TG</t>
        </is>
      </c>
      <c r="M248" s="20" t="n">
        <v>210438</v>
      </c>
      <c r="N248" s="2">
        <f>IF(E248="","Waiting","Calibrated")</f>
        <v/>
      </c>
      <c r="O248" s="2" t="n">
        <v>10303001</v>
      </c>
      <c r="P248" s="2" t="inlineStr">
        <is>
          <t>ZM06</t>
        </is>
      </c>
      <c r="Q248" s="2" t="inlineStr">
        <is>
          <t>OK</t>
        </is>
      </c>
      <c r="R248" s="28" t="n"/>
      <c r="S248" s="28" t="n"/>
      <c r="T248" s="29" t="n"/>
    </row>
    <row r="249" ht="35.1" customFormat="1" customHeight="1" s="5">
      <c r="A249" s="17" t="n">
        <v>247</v>
      </c>
      <c r="B249" s="17" t="inlineStr">
        <is>
          <t>KIPP12</t>
        </is>
      </c>
      <c r="C249" s="14" t="inlineStr">
        <is>
          <t>12HAD10CL001</t>
        </is>
      </c>
      <c r="D249" s="14" t="inlineStr">
        <is>
          <t>LP DRUM LT 1</t>
        </is>
      </c>
      <c r="E249" s="84" t="n"/>
      <c r="F249" s="75" t="n">
        <v>-6350</v>
      </c>
      <c r="G249" s="75" t="n">
        <v>6350</v>
      </c>
      <c r="H249" s="39" t="n">
        <v>-39</v>
      </c>
      <c r="I249" s="39" t="n">
        <v>-1294</v>
      </c>
      <c r="J249" s="4" t="inlineStr">
        <is>
          <t>mmH2O</t>
        </is>
      </c>
      <c r="K249" s="33" t="inlineStr">
        <is>
          <t>ROSEMOUNT</t>
        </is>
      </c>
      <c r="L249" s="33" t="inlineStr">
        <is>
          <t>2051 PT</t>
        </is>
      </c>
      <c r="M249" s="20" t="n">
        <v>3576021</v>
      </c>
      <c r="N249" s="2">
        <f>IF(E249="","Waiting","Calibrated")</f>
        <v/>
      </c>
      <c r="O249" s="2" t="n">
        <v>10303002</v>
      </c>
      <c r="P249" s="2" t="inlineStr">
        <is>
          <t>ZM06</t>
        </is>
      </c>
      <c r="Q249" s="2" t="inlineStr">
        <is>
          <t>OK</t>
        </is>
      </c>
      <c r="R249" s="28" t="n"/>
      <c r="S249" s="28" t="n"/>
      <c r="T249" s="29" t="n"/>
    </row>
    <row r="250" ht="35.1" customFormat="1" customHeight="1" s="5">
      <c r="A250" s="17" t="n">
        <v>248</v>
      </c>
      <c r="B250" s="17" t="inlineStr">
        <is>
          <t>KIPP12</t>
        </is>
      </c>
      <c r="C250" s="14" t="inlineStr">
        <is>
          <t>12HAD10CL002</t>
        </is>
      </c>
      <c r="D250" s="14" t="inlineStr">
        <is>
          <t>LP DRUM LT 2</t>
        </is>
      </c>
      <c r="E250" s="84" t="n"/>
      <c r="F250" s="75" t="n">
        <v>-6350</v>
      </c>
      <c r="G250" s="75" t="n">
        <v>6350</v>
      </c>
      <c r="H250" s="39" t="n">
        <v>-39</v>
      </c>
      <c r="I250" s="39" t="n">
        <v>-1294</v>
      </c>
      <c r="J250" s="4" t="inlineStr">
        <is>
          <t>mmH2O</t>
        </is>
      </c>
      <c r="K250" s="33" t="inlineStr">
        <is>
          <t>ROSEMOUNT</t>
        </is>
      </c>
      <c r="L250" s="33" t="inlineStr">
        <is>
          <t>2051 PT</t>
        </is>
      </c>
      <c r="M250" s="20" t="n">
        <v>3576022</v>
      </c>
      <c r="N250" s="2">
        <f>IF(E250="","Waiting","Calibrated")</f>
        <v/>
      </c>
      <c r="O250" s="2" t="n">
        <v>10303003</v>
      </c>
      <c r="P250" s="2" t="inlineStr">
        <is>
          <t>ZM06</t>
        </is>
      </c>
      <c r="Q250" s="2" t="inlineStr">
        <is>
          <t>OK</t>
        </is>
      </c>
      <c r="R250" s="28" t="n"/>
      <c r="S250" s="28" t="n"/>
      <c r="T250" s="29" t="n"/>
    </row>
    <row r="251" ht="35.1" customFormat="1" customHeight="1" s="5">
      <c r="A251" s="17" t="n">
        <v>249</v>
      </c>
      <c r="B251" s="17" t="inlineStr">
        <is>
          <t>KIPP12</t>
        </is>
      </c>
      <c r="C251" s="14" t="inlineStr">
        <is>
          <t>12HAD10CL003</t>
        </is>
      </c>
      <c r="D251" s="14" t="inlineStr">
        <is>
          <t>LP DRUM LT 3</t>
        </is>
      </c>
      <c r="E251" s="84" t="n"/>
      <c r="F251" s="75" t="n">
        <v>-6350</v>
      </c>
      <c r="G251" s="75" t="n">
        <v>6350</v>
      </c>
      <c r="H251" s="39" t="n">
        <v>-39</v>
      </c>
      <c r="I251" s="39" t="n">
        <v>-1294</v>
      </c>
      <c r="J251" s="4" t="inlineStr">
        <is>
          <t>mmH2O</t>
        </is>
      </c>
      <c r="K251" s="33" t="inlineStr">
        <is>
          <t>ROSEMOUNT</t>
        </is>
      </c>
      <c r="L251" s="33" t="inlineStr">
        <is>
          <t>2051 PT</t>
        </is>
      </c>
      <c r="M251" s="20" t="n">
        <v>3576023</v>
      </c>
      <c r="N251" s="2">
        <f>IF(E251="","Waiting","Calibrated")</f>
        <v/>
      </c>
      <c r="O251" s="2" t="n">
        <v>10303067</v>
      </c>
      <c r="P251" s="2" t="inlineStr">
        <is>
          <t>ZM06</t>
        </is>
      </c>
      <c r="Q251" s="2" t="inlineStr">
        <is>
          <t>OK</t>
        </is>
      </c>
      <c r="R251" s="28" t="n"/>
      <c r="S251" s="28" t="n"/>
      <c r="T251" s="29" t="n"/>
    </row>
    <row r="252" ht="35.1" customFormat="1" customHeight="1" s="5">
      <c r="A252" s="17" t="n">
        <v>250</v>
      </c>
      <c r="B252" s="17" t="inlineStr">
        <is>
          <t>KIPP12</t>
        </is>
      </c>
      <c r="C252" s="14" t="inlineStr">
        <is>
          <t>12HAD10CP001</t>
        </is>
      </c>
      <c r="D252" s="14" t="inlineStr">
        <is>
          <t>LP DRUM PT 1</t>
        </is>
      </c>
      <c r="E252" s="84" t="n"/>
      <c r="F252" s="75" t="n">
        <v>-1.01</v>
      </c>
      <c r="G252" s="75" t="n">
        <v>55.16</v>
      </c>
      <c r="H252" s="39" t="n">
        <v>0</v>
      </c>
      <c r="I252" s="39" t="n">
        <v>15</v>
      </c>
      <c r="J252" s="4" t="inlineStr">
        <is>
          <t>Bar</t>
        </is>
      </c>
      <c r="K252" s="19" t="inlineStr">
        <is>
          <t>ROSEMOUNT</t>
        </is>
      </c>
      <c r="L252" s="19" t="inlineStr">
        <is>
          <t>2051 PT</t>
        </is>
      </c>
      <c r="M252" s="20" t="n">
        <v>3576030</v>
      </c>
      <c r="N252" s="2">
        <f>IF(E252="","Waiting","Calibrated")</f>
        <v/>
      </c>
      <c r="O252" s="2" t="n">
        <v>10303068</v>
      </c>
      <c r="P252" s="2" t="inlineStr">
        <is>
          <t>ZM06</t>
        </is>
      </c>
      <c r="Q252" s="2" t="inlineStr">
        <is>
          <t>OK</t>
        </is>
      </c>
      <c r="R252" s="28" t="n"/>
      <c r="S252" s="28" t="n"/>
      <c r="T252" s="29" t="n"/>
    </row>
    <row r="253" ht="35.1" customFormat="1" customHeight="1" s="5">
      <c r="A253" s="17" t="n">
        <v>251</v>
      </c>
      <c r="B253" s="17" t="inlineStr">
        <is>
          <t>KIPP12</t>
        </is>
      </c>
      <c r="C253" s="14" t="inlineStr">
        <is>
          <t>12HAD10CP002</t>
        </is>
      </c>
      <c r="D253" s="14" t="inlineStr">
        <is>
          <t>LP DRUM PT 2</t>
        </is>
      </c>
      <c r="E253" s="84" t="n"/>
      <c r="F253" s="75" t="n">
        <v>-1.01</v>
      </c>
      <c r="G253" s="75" t="n">
        <v>55.16</v>
      </c>
      <c r="H253" s="39" t="n">
        <v>0</v>
      </c>
      <c r="I253" s="39" t="n">
        <v>15</v>
      </c>
      <c r="J253" s="4" t="inlineStr">
        <is>
          <t>Bar</t>
        </is>
      </c>
      <c r="K253" s="19" t="inlineStr">
        <is>
          <t>ROSEMOUNT</t>
        </is>
      </c>
      <c r="L253" s="19" t="inlineStr">
        <is>
          <t>2051 PT</t>
        </is>
      </c>
      <c r="M253" s="20" t="n">
        <v>3576031</v>
      </c>
      <c r="N253" s="2">
        <f>IF(E253="","Waiting","Calibrated")</f>
        <v/>
      </c>
      <c r="O253" s="2" t="n">
        <v>10303166</v>
      </c>
      <c r="P253" s="2" t="inlineStr">
        <is>
          <t>ZM06</t>
        </is>
      </c>
      <c r="Q253" s="2" t="inlineStr">
        <is>
          <t>OK</t>
        </is>
      </c>
      <c r="R253" s="28" t="n"/>
      <c r="S253" s="28" t="n"/>
      <c r="T253" s="29" t="n"/>
    </row>
    <row r="254" ht="35.1" customFormat="1" customHeight="1" s="5">
      <c r="A254" s="17" t="n">
        <v>252</v>
      </c>
      <c r="B254" s="17" t="inlineStr">
        <is>
          <t>KIPP12</t>
        </is>
      </c>
      <c r="C254" s="14" t="inlineStr">
        <is>
          <t>12HAD10CP003</t>
        </is>
      </c>
      <c r="D254" s="14" t="inlineStr">
        <is>
          <t>LP DRUM PT 3</t>
        </is>
      </c>
      <c r="E254" s="84" t="n"/>
      <c r="F254" s="75" t="n">
        <v>-1.01</v>
      </c>
      <c r="G254" s="75" t="n">
        <v>55.16</v>
      </c>
      <c r="H254" s="39" t="n">
        <v>0</v>
      </c>
      <c r="I254" s="39" t="n">
        <v>15</v>
      </c>
      <c r="J254" s="4" t="inlineStr">
        <is>
          <t>Bar</t>
        </is>
      </c>
      <c r="K254" s="19" t="inlineStr">
        <is>
          <t>ROSEMOUNT</t>
        </is>
      </c>
      <c r="L254" s="19" t="inlineStr">
        <is>
          <t>2051 PT</t>
        </is>
      </c>
      <c r="M254" s="20" t="n">
        <v>3576032</v>
      </c>
      <c r="N254" s="2">
        <f>IF(E254="","Waiting","Calibrated")</f>
        <v/>
      </c>
      <c r="O254" s="2" t="n">
        <v>10301187</v>
      </c>
      <c r="P254" s="2" t="inlineStr">
        <is>
          <t>ZM06</t>
        </is>
      </c>
      <c r="Q254" s="2" t="inlineStr">
        <is>
          <t>OK</t>
        </is>
      </c>
      <c r="R254" s="28" t="n"/>
      <c r="S254" s="28" t="n"/>
      <c r="T254" s="29" t="n"/>
    </row>
    <row r="255" ht="35.1" customFormat="1" customHeight="1" s="5">
      <c r="A255" s="17" t="n">
        <v>253</v>
      </c>
      <c r="B255" s="17" t="inlineStr">
        <is>
          <t>KIPP12</t>
        </is>
      </c>
      <c r="C255" s="14" t="inlineStr">
        <is>
          <t>12HAD30CL001</t>
        </is>
      </c>
      <c r="D255" s="14" t="inlineStr">
        <is>
          <t>IP DRUM LT 1</t>
        </is>
      </c>
      <c r="E255" s="84" t="n"/>
      <c r="F255" s="75" t="n">
        <v>-6350</v>
      </c>
      <c r="G255" s="75" t="n">
        <v>6350</v>
      </c>
      <c r="H255" s="39" t="n">
        <v>-34</v>
      </c>
      <c r="I255" s="39" t="n">
        <v>-1143</v>
      </c>
      <c r="J255" s="4" t="inlineStr">
        <is>
          <t>mmH2O</t>
        </is>
      </c>
      <c r="K255" s="33" t="inlineStr">
        <is>
          <t>ROSEMOUNT</t>
        </is>
      </c>
      <c r="L255" s="33" t="inlineStr">
        <is>
          <t>2051 PT</t>
        </is>
      </c>
      <c r="M255" s="20" t="n">
        <v>3576018</v>
      </c>
      <c r="N255" s="2">
        <f>IF(E255="","Waiting","Calibrated")</f>
        <v/>
      </c>
      <c r="O255" s="2" t="n">
        <v>10301188</v>
      </c>
      <c r="P255" s="2" t="inlineStr">
        <is>
          <t>ZM06</t>
        </is>
      </c>
      <c r="Q255" s="2" t="inlineStr">
        <is>
          <t>OK</t>
        </is>
      </c>
      <c r="R255" s="28" t="n"/>
      <c r="S255" s="28" t="n"/>
      <c r="T255" s="29" t="n"/>
    </row>
    <row r="256" ht="35.1" customFormat="1" customHeight="1" s="5">
      <c r="A256" s="17" t="n">
        <v>254</v>
      </c>
      <c r="B256" s="17" t="inlineStr">
        <is>
          <t>KIPP12</t>
        </is>
      </c>
      <c r="C256" s="14" t="inlineStr">
        <is>
          <t>12HAD30CL002</t>
        </is>
      </c>
      <c r="D256" s="14" t="inlineStr">
        <is>
          <t>IP DRUM LT 2</t>
        </is>
      </c>
      <c r="E256" s="84" t="n"/>
      <c r="F256" s="75" t="n">
        <v>-6350</v>
      </c>
      <c r="G256" s="75" t="n">
        <v>6350</v>
      </c>
      <c r="H256" s="39" t="n">
        <v>-34</v>
      </c>
      <c r="I256" s="39" t="n">
        <v>-1143</v>
      </c>
      <c r="J256" s="4" t="inlineStr">
        <is>
          <t>mmH2O</t>
        </is>
      </c>
      <c r="K256" s="33" t="inlineStr">
        <is>
          <t>ROSEMOUNT</t>
        </is>
      </c>
      <c r="L256" s="33" t="inlineStr">
        <is>
          <t>2051 PT</t>
        </is>
      </c>
      <c r="M256" s="20" t="n">
        <v>3576019</v>
      </c>
      <c r="N256" s="2">
        <f>IF(E256="","Waiting","Calibrated")</f>
        <v/>
      </c>
      <c r="O256" s="2" t="n">
        <v>10301613</v>
      </c>
      <c r="P256" s="2" t="inlineStr">
        <is>
          <t>ZM06</t>
        </is>
      </c>
      <c r="Q256" s="2" t="inlineStr">
        <is>
          <t>OK</t>
        </is>
      </c>
      <c r="R256" s="28" t="n"/>
      <c r="S256" s="28" t="n"/>
      <c r="T256" s="29" t="n"/>
    </row>
    <row r="257" ht="35.1" customFormat="1" customHeight="1" s="5">
      <c r="A257" s="17" t="n">
        <v>255</v>
      </c>
      <c r="B257" s="17" t="inlineStr">
        <is>
          <t>KIPP12</t>
        </is>
      </c>
      <c r="C257" s="14" t="inlineStr">
        <is>
          <t>12HAD30CL003</t>
        </is>
      </c>
      <c r="D257" s="14" t="inlineStr">
        <is>
          <t>IP DRUM LT 3</t>
        </is>
      </c>
      <c r="E257" s="84" t="n"/>
      <c r="F257" s="75" t="n">
        <v>-6350</v>
      </c>
      <c r="G257" s="75" t="n">
        <v>6350</v>
      </c>
      <c r="H257" s="39" t="n">
        <v>-34</v>
      </c>
      <c r="I257" s="39" t="n">
        <v>-1143</v>
      </c>
      <c r="J257" s="4" t="inlineStr">
        <is>
          <t>mmH2O</t>
        </is>
      </c>
      <c r="K257" s="33" t="inlineStr">
        <is>
          <t>ROSEMOUNT</t>
        </is>
      </c>
      <c r="L257" s="33" t="inlineStr">
        <is>
          <t>2051 PT</t>
        </is>
      </c>
      <c r="M257" s="20" t="n">
        <v>3576020</v>
      </c>
      <c r="N257" s="2">
        <f>IF(E257="","Waiting","Calibrated")</f>
        <v/>
      </c>
      <c r="O257" s="2" t="n">
        <v>10301630</v>
      </c>
      <c r="P257" s="2" t="inlineStr">
        <is>
          <t>ZM06</t>
        </is>
      </c>
      <c r="Q257" s="2" t="inlineStr">
        <is>
          <t>OK</t>
        </is>
      </c>
      <c r="R257" s="28" t="n"/>
      <c r="S257" s="28" t="inlineStr">
        <is>
          <t>10LAB10GH101</t>
        </is>
      </c>
      <c r="T257" s="29" t="n"/>
    </row>
    <row r="258" ht="35.1" customFormat="1" customHeight="1" s="5">
      <c r="A258" s="17" t="n">
        <v>256</v>
      </c>
      <c r="B258" s="17" t="inlineStr">
        <is>
          <t>KIPP12</t>
        </is>
      </c>
      <c r="C258" s="14" t="inlineStr">
        <is>
          <t>12HAD30CP001</t>
        </is>
      </c>
      <c r="D258" s="14" t="inlineStr">
        <is>
          <t>IP DRUM PT 1</t>
        </is>
      </c>
      <c r="E258" s="84" t="n"/>
      <c r="F258" s="75" t="n">
        <v>-1.01</v>
      </c>
      <c r="G258" s="75" t="n">
        <v>275.79</v>
      </c>
      <c r="H258" s="39" t="n">
        <v>0</v>
      </c>
      <c r="I258" s="39" t="n">
        <v>60</v>
      </c>
      <c r="J258" s="4" t="inlineStr">
        <is>
          <t>Bar</t>
        </is>
      </c>
      <c r="K258" s="19" t="inlineStr">
        <is>
          <t>ROSEMOUNT</t>
        </is>
      </c>
      <c r="L258" s="19" t="inlineStr">
        <is>
          <t>2051 PT</t>
        </is>
      </c>
      <c r="M258" s="20" t="n">
        <v>3576000</v>
      </c>
      <c r="N258" s="2">
        <f>IF(E258="","Waiting","Calibrated")</f>
        <v/>
      </c>
      <c r="O258" s="2" t="n">
        <v>10301758</v>
      </c>
      <c r="P258" s="2" t="inlineStr">
        <is>
          <t>ZM06</t>
        </is>
      </c>
      <c r="Q258" s="2" t="inlineStr">
        <is>
          <t>OK</t>
        </is>
      </c>
      <c r="R258" s="28" t="n"/>
      <c r="S258" s="28" t="n"/>
      <c r="T258" s="29" t="n"/>
    </row>
    <row r="259" ht="35.1" customFormat="1" customHeight="1" s="5">
      <c r="A259" s="17" t="n">
        <v>257</v>
      </c>
      <c r="B259" s="17" t="inlineStr">
        <is>
          <t>KIPP12</t>
        </is>
      </c>
      <c r="C259" s="14" t="inlineStr">
        <is>
          <t>12HAD30CP002</t>
        </is>
      </c>
      <c r="D259" s="14" t="inlineStr">
        <is>
          <t>IP DRUM PT 2</t>
        </is>
      </c>
      <c r="E259" s="84" t="n"/>
      <c r="F259" s="75" t="n">
        <v>-1.01</v>
      </c>
      <c r="G259" s="75" t="n">
        <v>275.79</v>
      </c>
      <c r="H259" s="39" t="n">
        <v>0</v>
      </c>
      <c r="I259" s="39" t="n">
        <v>60</v>
      </c>
      <c r="J259" s="4" t="inlineStr">
        <is>
          <t>Bar</t>
        </is>
      </c>
      <c r="K259" s="19" t="inlineStr">
        <is>
          <t>ROSEMOUNT</t>
        </is>
      </c>
      <c r="L259" s="19" t="inlineStr">
        <is>
          <t>2051 PT</t>
        </is>
      </c>
      <c r="M259" s="20" t="n">
        <v>3576001</v>
      </c>
      <c r="N259" s="2">
        <f>IF(E259="","Waiting","Calibrated")</f>
        <v/>
      </c>
      <c r="O259" s="2" t="n">
        <v>10301759</v>
      </c>
      <c r="P259" s="2" t="inlineStr">
        <is>
          <t>ZM06</t>
        </is>
      </c>
      <c r="Q259" s="2" t="inlineStr">
        <is>
          <t>OK</t>
        </is>
      </c>
      <c r="R259" s="28" t="n"/>
      <c r="S259" s="28" t="n"/>
      <c r="T259" s="29" t="n"/>
    </row>
    <row r="260" ht="35.1" customFormat="1" customHeight="1" s="5">
      <c r="A260" s="17" t="n">
        <v>258</v>
      </c>
      <c r="B260" s="17" t="inlineStr">
        <is>
          <t>KIPP12</t>
        </is>
      </c>
      <c r="C260" s="14" t="inlineStr">
        <is>
          <t>12HAD30CP003</t>
        </is>
      </c>
      <c r="D260" s="14" t="inlineStr">
        <is>
          <t>IP DRUM PT 3</t>
        </is>
      </c>
      <c r="E260" s="84" t="n"/>
      <c r="F260" s="75" t="n">
        <v>-1.01</v>
      </c>
      <c r="G260" s="75" t="n">
        <v>275.79</v>
      </c>
      <c r="H260" s="39" t="n">
        <v>0</v>
      </c>
      <c r="I260" s="39" t="n">
        <v>60</v>
      </c>
      <c r="J260" s="4" t="inlineStr">
        <is>
          <t>Bar</t>
        </is>
      </c>
      <c r="K260" s="19" t="inlineStr">
        <is>
          <t>ROSEMOUNT</t>
        </is>
      </c>
      <c r="L260" s="19" t="inlineStr">
        <is>
          <t>2051 PT</t>
        </is>
      </c>
      <c r="M260" s="20" t="n">
        <v>3576002</v>
      </c>
      <c r="N260" s="2">
        <f>IF(E260="","Waiting","Calibrated")</f>
        <v/>
      </c>
      <c r="O260" s="2" t="n">
        <v>10301801</v>
      </c>
      <c r="P260" s="2" t="inlineStr">
        <is>
          <t>ZM06</t>
        </is>
      </c>
      <c r="Q260" s="2" t="inlineStr">
        <is>
          <t>OK</t>
        </is>
      </c>
      <c r="R260" s="28" t="n"/>
      <c r="S260" s="28" t="n"/>
      <c r="T260" s="29" t="n"/>
    </row>
    <row r="261" ht="35.1" customFormat="1" customHeight="1" s="5">
      <c r="A261" s="17" t="n">
        <v>259</v>
      </c>
      <c r="B261" s="17" t="inlineStr">
        <is>
          <t>KIPP12</t>
        </is>
      </c>
      <c r="C261" s="14" t="inlineStr">
        <is>
          <t>12HAD50CL001</t>
        </is>
      </c>
      <c r="D261" s="14" t="inlineStr">
        <is>
          <t>HP DRUM LT 1</t>
        </is>
      </c>
      <c r="E261" s="84" t="n"/>
      <c r="F261" s="75" t="n">
        <v>-6350</v>
      </c>
      <c r="G261" s="75" t="n">
        <v>6350</v>
      </c>
      <c r="H261" s="40" t="n">
        <v>-39</v>
      </c>
      <c r="I261" s="39" t="n">
        <v>-1294</v>
      </c>
      <c r="J261" s="4" t="inlineStr">
        <is>
          <t>mmH2O</t>
        </is>
      </c>
      <c r="K261" s="33" t="inlineStr">
        <is>
          <t>ROSEMOUNT</t>
        </is>
      </c>
      <c r="L261" s="33" t="inlineStr">
        <is>
          <t>2051 PT</t>
        </is>
      </c>
      <c r="M261" s="20" t="n">
        <v>3576015</v>
      </c>
      <c r="N261" s="2">
        <f>IF(E261="","Waiting","Calibrated")</f>
        <v/>
      </c>
      <c r="O261" s="2" t="n">
        <v>10301802</v>
      </c>
      <c r="P261" s="2" t="inlineStr">
        <is>
          <t>ZM06</t>
        </is>
      </c>
      <c r="Q261" s="2" t="inlineStr">
        <is>
          <t>OK</t>
        </is>
      </c>
      <c r="R261" s="28" t="n"/>
      <c r="S261" s="28" t="n"/>
      <c r="T261" s="29" t="n"/>
    </row>
    <row r="262" ht="35.1" customFormat="1" customHeight="1" s="5">
      <c r="A262" s="17" t="n">
        <v>260</v>
      </c>
      <c r="B262" s="17" t="inlineStr">
        <is>
          <t>KIPP12</t>
        </is>
      </c>
      <c r="C262" s="14" t="inlineStr">
        <is>
          <t>12HAD50CL002</t>
        </is>
      </c>
      <c r="D262" s="14" t="inlineStr">
        <is>
          <t>HP DRUM LT 2</t>
        </is>
      </c>
      <c r="E262" s="84" t="n"/>
      <c r="F262" s="75" t="n">
        <v>-6350</v>
      </c>
      <c r="G262" s="75" t="n">
        <v>6350</v>
      </c>
      <c r="H262" s="40" t="n">
        <v>-39</v>
      </c>
      <c r="I262" s="40" t="n">
        <v>-1294</v>
      </c>
      <c r="J262" s="4" t="inlineStr">
        <is>
          <t>mmH2O</t>
        </is>
      </c>
      <c r="K262" s="33" t="inlineStr">
        <is>
          <t>ROSEMOUNT</t>
        </is>
      </c>
      <c r="L262" s="33" t="inlineStr">
        <is>
          <t>2051 PT</t>
        </is>
      </c>
      <c r="M262" s="20" t="n">
        <v>3576016</v>
      </c>
      <c r="N262" s="2">
        <f>IF(E262="","Waiting","Calibrated")</f>
        <v/>
      </c>
      <c r="O262" s="2" t="n">
        <v>10301847</v>
      </c>
      <c r="P262" s="2" t="inlineStr">
        <is>
          <t>ZM06</t>
        </is>
      </c>
      <c r="Q262" s="2" t="inlineStr">
        <is>
          <t>OK</t>
        </is>
      </c>
      <c r="R262" s="28" t="n"/>
      <c r="S262" s="28" t="n"/>
      <c r="T262" s="29" t="n"/>
    </row>
    <row r="263" ht="35.1" customFormat="1" customHeight="1" s="5">
      <c r="A263" s="17" t="n">
        <v>261</v>
      </c>
      <c r="B263" s="17" t="inlineStr">
        <is>
          <t>KIPP12</t>
        </is>
      </c>
      <c r="C263" s="14" t="inlineStr">
        <is>
          <t>12HAD50CL003</t>
        </is>
      </c>
      <c r="D263" s="14" t="inlineStr">
        <is>
          <t>HP DRUM LT 3</t>
        </is>
      </c>
      <c r="E263" s="84" t="n"/>
      <c r="F263" s="75" t="n">
        <v>-6350</v>
      </c>
      <c r="G263" s="75" t="n">
        <v>6350</v>
      </c>
      <c r="H263" s="40" t="n">
        <v>-33</v>
      </c>
      <c r="I263" s="39" t="n">
        <v>-1294</v>
      </c>
      <c r="J263" s="4" t="inlineStr">
        <is>
          <t>mmH2O</t>
        </is>
      </c>
      <c r="K263" s="33" t="inlineStr">
        <is>
          <t>ROSEMOUNT</t>
        </is>
      </c>
      <c r="L263" s="33" t="inlineStr">
        <is>
          <t>2051 PT</t>
        </is>
      </c>
      <c r="M263" s="20" t="n">
        <v>3576017</v>
      </c>
      <c r="N263" s="2">
        <f>IF(E263="","Waiting","Calibrated")</f>
        <v/>
      </c>
      <c r="O263" s="2" t="n">
        <v>10301848</v>
      </c>
      <c r="P263" s="2" t="inlineStr">
        <is>
          <t>ZM06</t>
        </is>
      </c>
      <c r="Q263" s="2" t="inlineStr">
        <is>
          <t>OK</t>
        </is>
      </c>
      <c r="R263" s="28" t="n"/>
      <c r="S263" s="28" t="n"/>
      <c r="T263" s="29" t="n"/>
    </row>
    <row r="264" ht="35.1" customFormat="1" customHeight="1" s="5">
      <c r="A264" s="17" t="n">
        <v>262</v>
      </c>
      <c r="B264" s="17" t="inlineStr">
        <is>
          <t>KIPP12</t>
        </is>
      </c>
      <c r="C264" s="14" t="inlineStr">
        <is>
          <t>12HAD50CP001</t>
        </is>
      </c>
      <c r="D264" s="14" t="inlineStr">
        <is>
          <t>HP DRUM PT 1</t>
        </is>
      </c>
      <c r="E264" s="84" t="n"/>
      <c r="F264" s="75" t="n">
        <v>0</v>
      </c>
      <c r="G264" s="75" t="n">
        <v>689.5</v>
      </c>
      <c r="H264" s="39" t="n">
        <v>0</v>
      </c>
      <c r="I264" s="39" t="n">
        <v>200</v>
      </c>
      <c r="J264" s="4" t="inlineStr">
        <is>
          <t>Bar</t>
        </is>
      </c>
      <c r="K264" s="19" t="inlineStr">
        <is>
          <t>ROSEMOUNT</t>
        </is>
      </c>
      <c r="L264" s="19" t="inlineStr">
        <is>
          <t>2051 PT</t>
        </is>
      </c>
      <c r="M264" s="20" t="n">
        <v>3575994</v>
      </c>
      <c r="N264" s="2">
        <f>IF(E264="","Waiting","Calibrated")</f>
        <v/>
      </c>
      <c r="O264" s="2" t="n">
        <v>10301878</v>
      </c>
      <c r="P264" s="2" t="inlineStr">
        <is>
          <t>ZM06</t>
        </is>
      </c>
      <c r="Q264" s="2" t="inlineStr">
        <is>
          <t>OK</t>
        </is>
      </c>
      <c r="R264" s="28" t="n"/>
      <c r="S264" s="28" t="n"/>
      <c r="T264" s="29" t="n"/>
    </row>
    <row r="265" ht="35.1" customFormat="1" customHeight="1" s="5">
      <c r="A265" s="17" t="n">
        <v>263</v>
      </c>
      <c r="B265" s="17" t="inlineStr">
        <is>
          <t>KIPP12</t>
        </is>
      </c>
      <c r="C265" s="14" t="inlineStr">
        <is>
          <t>12HAD50CP002</t>
        </is>
      </c>
      <c r="D265" s="14" t="inlineStr">
        <is>
          <t>HP DRUM PT 2</t>
        </is>
      </c>
      <c r="E265" s="84" t="n"/>
      <c r="F265" s="75" t="n">
        <v>0</v>
      </c>
      <c r="G265" s="75" t="n">
        <v>689.5</v>
      </c>
      <c r="H265" s="39" t="n">
        <v>0</v>
      </c>
      <c r="I265" s="39" t="n">
        <v>200</v>
      </c>
      <c r="J265" s="4" t="inlineStr">
        <is>
          <t>Bar</t>
        </is>
      </c>
      <c r="K265" s="19" t="inlineStr">
        <is>
          <t>ROSEMOUNT</t>
        </is>
      </c>
      <c r="L265" s="19" t="inlineStr">
        <is>
          <t>2051 PT</t>
        </is>
      </c>
      <c r="M265" s="20" t="n">
        <v>3575995</v>
      </c>
      <c r="N265" s="2">
        <f>IF(E265="","Waiting","Calibrated")</f>
        <v/>
      </c>
      <c r="O265" s="2" t="n">
        <v>10301879</v>
      </c>
      <c r="P265" s="2" t="inlineStr">
        <is>
          <t>ZM06</t>
        </is>
      </c>
      <c r="Q265" s="2" t="inlineStr">
        <is>
          <t>OK</t>
        </is>
      </c>
      <c r="R265" s="28" t="n"/>
      <c r="S265" s="28" t="n"/>
      <c r="T265" s="29" t="n"/>
    </row>
    <row r="266" ht="35.1" customFormat="1" customHeight="1" s="5">
      <c r="A266" s="17" t="n">
        <v>264</v>
      </c>
      <c r="B266" s="17" t="inlineStr">
        <is>
          <t>KIPP12</t>
        </is>
      </c>
      <c r="C266" s="14" t="inlineStr">
        <is>
          <t>12HAD50CP003</t>
        </is>
      </c>
      <c r="D266" s="14" t="inlineStr">
        <is>
          <t>HP DRUM PT 3</t>
        </is>
      </c>
      <c r="E266" s="84" t="n"/>
      <c r="F266" s="75" t="n">
        <v>0</v>
      </c>
      <c r="G266" s="75" t="n">
        <v>689.5</v>
      </c>
      <c r="H266" s="39" t="n">
        <v>0</v>
      </c>
      <c r="I266" s="39" t="n">
        <v>200</v>
      </c>
      <c r="J266" s="4" t="inlineStr">
        <is>
          <t>Bar</t>
        </is>
      </c>
      <c r="K266" s="19" t="inlineStr">
        <is>
          <t>ROSEMOUNT</t>
        </is>
      </c>
      <c r="L266" s="19" t="inlineStr">
        <is>
          <t>2051 PT</t>
        </is>
      </c>
      <c r="M266" s="20" t="n">
        <v>3575996</v>
      </c>
      <c r="N266" s="2">
        <f>IF(E266="","Waiting","Calibrated")</f>
        <v/>
      </c>
      <c r="O266" s="2" t="n">
        <v>10301187</v>
      </c>
      <c r="P266" s="2" t="inlineStr">
        <is>
          <t>ZM06</t>
        </is>
      </c>
      <c r="Q266" s="2" t="inlineStr">
        <is>
          <t>OK</t>
        </is>
      </c>
      <c r="R266" s="28" t="n"/>
      <c r="S266" s="28" t="n"/>
      <c r="T266" s="29" t="n"/>
    </row>
    <row r="267" ht="35.1" customFormat="1" customHeight="1" s="5">
      <c r="A267" s="17" t="n">
        <v>265</v>
      </c>
      <c r="B267" s="17" t="inlineStr">
        <is>
          <t>KIPP12</t>
        </is>
      </c>
      <c r="C267" s="14" t="inlineStr">
        <is>
          <t>12LAB20CF101</t>
        </is>
      </c>
      <c r="D267" s="14" t="inlineStr">
        <is>
          <t>HP STEAM BYPASS SPRAYAY WATER FT</t>
        </is>
      </c>
      <c r="E267" s="84" t="n"/>
      <c r="F267" s="75" t="n">
        <v>-6350</v>
      </c>
      <c r="G267" s="75" t="n">
        <v>6350</v>
      </c>
      <c r="H267" s="39" t="n">
        <v>0</v>
      </c>
      <c r="I267" s="39" t="n">
        <v>6300</v>
      </c>
      <c r="J267" s="4" t="inlineStr">
        <is>
          <t>mmH2O</t>
        </is>
      </c>
      <c r="K267" s="19" t="inlineStr">
        <is>
          <t>ROSEMOUNT</t>
        </is>
      </c>
      <c r="L267" s="19" t="inlineStr">
        <is>
          <t>2051 PT</t>
        </is>
      </c>
      <c r="M267" s="20" t="n">
        <v>214441</v>
      </c>
      <c r="N267" s="2">
        <f>IF(E267="","Waiting","Calibrated")</f>
        <v/>
      </c>
      <c r="O267" s="2" t="n">
        <v>10301879</v>
      </c>
      <c r="P267" s="2" t="inlineStr">
        <is>
          <t>ZM06</t>
        </is>
      </c>
      <c r="Q267" s="2" t="inlineStr">
        <is>
          <t>OK</t>
        </is>
      </c>
      <c r="R267" s="28" t="n"/>
      <c r="S267" s="28" t="n"/>
      <c r="T267" s="29" t="n"/>
    </row>
    <row r="268" ht="35.1" customFormat="1" customHeight="1" s="5">
      <c r="A268" s="17" t="n">
        <v>266</v>
      </c>
      <c r="B268" s="17" t="inlineStr">
        <is>
          <t>KIPP12</t>
        </is>
      </c>
      <c r="C268" s="14" t="inlineStr">
        <is>
          <t>12LAB31CF101</t>
        </is>
      </c>
      <c r="D268" s="14" t="inlineStr">
        <is>
          <t>FW FROM CONDENSATE PREHEATER FT</t>
        </is>
      </c>
      <c r="E268" s="84" t="n"/>
      <c r="F268" s="75" t="n">
        <v>-10197.2</v>
      </c>
      <c r="G268" s="75" t="n">
        <v>10197.2</v>
      </c>
      <c r="H268" s="40" t="n">
        <v>0</v>
      </c>
      <c r="I268" s="40" t="n">
        <v>7500</v>
      </c>
      <c r="J268" s="4" t="inlineStr">
        <is>
          <t>mmH2O</t>
        </is>
      </c>
      <c r="K268" s="19" t="inlineStr">
        <is>
          <t>YOKOGAWA</t>
        </is>
      </c>
      <c r="L268" s="19" t="inlineStr">
        <is>
          <t>EJA110E</t>
        </is>
      </c>
      <c r="M268" s="19" t="inlineStr">
        <is>
          <t>91S313067</t>
        </is>
      </c>
      <c r="N268" s="2">
        <f>IF(E268="","Waiting","Calibrated")</f>
        <v/>
      </c>
      <c r="O268" s="2" t="n">
        <v>10301188</v>
      </c>
      <c r="P268" s="2" t="inlineStr">
        <is>
          <t>ZM06</t>
        </is>
      </c>
      <c r="Q268" s="2" t="inlineStr">
        <is>
          <t>OK</t>
        </is>
      </c>
      <c r="R268" s="28" t="n"/>
      <c r="S268" s="28" t="n"/>
      <c r="T268" s="29" t="n"/>
    </row>
    <row r="269" ht="35.1" customFormat="1" customHeight="1" s="5">
      <c r="A269" s="17" t="n">
        <v>267</v>
      </c>
      <c r="B269" s="17" t="inlineStr">
        <is>
          <t>KIPP12</t>
        </is>
      </c>
      <c r="C269" s="14" t="inlineStr">
        <is>
          <t>12LAB46CP001</t>
        </is>
      </c>
      <c r="D269" s="14" t="inlineStr">
        <is>
          <t>IP/LP FW PT</t>
        </is>
      </c>
      <c r="E269" s="84" t="n"/>
      <c r="F269" s="75" t="n">
        <v>-1.01</v>
      </c>
      <c r="G269" s="75" t="n">
        <v>275.79</v>
      </c>
      <c r="H269" s="39" t="n">
        <v>0</v>
      </c>
      <c r="I269" s="39" t="n">
        <v>100</v>
      </c>
      <c r="J269" s="4" t="inlineStr">
        <is>
          <t>Bar</t>
        </is>
      </c>
      <c r="K269" s="19" t="inlineStr">
        <is>
          <t>ROSEMOUNT</t>
        </is>
      </c>
      <c r="L269" s="19" t="inlineStr">
        <is>
          <t>2051 PT</t>
        </is>
      </c>
      <c r="M269" s="20" t="n">
        <v>210448</v>
      </c>
      <c r="N269" s="2">
        <f>IF(E269="","Waiting","Calibrated")</f>
        <v/>
      </c>
      <c r="O269" s="2" t="n">
        <v>10301358</v>
      </c>
      <c r="P269" s="2" t="inlineStr">
        <is>
          <t>ZM06</t>
        </is>
      </c>
      <c r="Q269" s="2" t="inlineStr">
        <is>
          <t>OK</t>
        </is>
      </c>
      <c r="R269" s="28" t="n"/>
      <c r="S269" s="28" t="n"/>
      <c r="T269" s="29" t="n"/>
    </row>
    <row r="270" ht="35.1" customFormat="1" customHeight="1" s="5">
      <c r="A270" s="17" t="n">
        <v>268</v>
      </c>
      <c r="B270" s="17" t="inlineStr">
        <is>
          <t>KIPP12</t>
        </is>
      </c>
      <c r="C270" s="14" t="inlineStr">
        <is>
          <t>12LAB96CP001</t>
        </is>
      </c>
      <c r="D270" s="14" t="inlineStr">
        <is>
          <t>HP FW PT</t>
        </is>
      </c>
      <c r="E270" s="84" t="n"/>
      <c r="F270" s="75" t="n">
        <v>0</v>
      </c>
      <c r="G270" s="75" t="n">
        <v>689.5</v>
      </c>
      <c r="H270" s="39" t="n">
        <v>0</v>
      </c>
      <c r="I270" s="39" t="n">
        <v>300</v>
      </c>
      <c r="J270" s="4" t="inlineStr">
        <is>
          <t>Bar</t>
        </is>
      </c>
      <c r="K270" s="19" t="inlineStr">
        <is>
          <t>ROSEMOUNT</t>
        </is>
      </c>
      <c r="L270" s="19" t="inlineStr">
        <is>
          <t>2051 PT</t>
        </is>
      </c>
      <c r="M270" s="20" t="n">
        <v>210442</v>
      </c>
      <c r="N270" s="2">
        <f>IF(E270="","Waiting","Calibrated")</f>
        <v/>
      </c>
      <c r="O270" s="2" t="n">
        <v>10301359</v>
      </c>
      <c r="P270" s="2" t="inlineStr">
        <is>
          <t>ZM06</t>
        </is>
      </c>
      <c r="Q270" s="2" t="inlineStr">
        <is>
          <t>OK</t>
        </is>
      </c>
      <c r="R270" s="28" t="n"/>
      <c r="S270" s="28" t="n"/>
      <c r="T270" s="29" t="n"/>
    </row>
    <row r="271" ht="35.1" customFormat="1" customHeight="1" s="5">
      <c r="A271" s="17" t="n">
        <v>269</v>
      </c>
      <c r="B271" s="17" t="inlineStr">
        <is>
          <t>KIPP12</t>
        </is>
      </c>
      <c r="C271" s="14" t="inlineStr">
        <is>
          <t>12LAE50CF002</t>
        </is>
      </c>
      <c r="D271" s="14" t="inlineStr">
        <is>
          <t>HP DESUPERHEATER SPRAY FT 1</t>
        </is>
      </c>
      <c r="E271" s="84" t="n"/>
      <c r="F271" s="75" t="n">
        <v>-621.6</v>
      </c>
      <c r="G271" s="75" t="n">
        <v>621.6</v>
      </c>
      <c r="H271" s="40" t="n">
        <v>0</v>
      </c>
      <c r="I271" s="40" t="n">
        <v>524</v>
      </c>
      <c r="J271" s="4" t="inlineStr">
        <is>
          <t>mBar</t>
        </is>
      </c>
      <c r="K271" s="19" t="inlineStr">
        <is>
          <t>ROSEMOUNT</t>
        </is>
      </c>
      <c r="L271" s="19" t="inlineStr">
        <is>
          <t>2051 PT</t>
        </is>
      </c>
      <c r="M271" s="19" t="n">
        <v>214465</v>
      </c>
      <c r="N271" s="2">
        <f>IF(E271="","Waiting","Calibrated")</f>
        <v/>
      </c>
      <c r="O271" s="2" t="n">
        <v>10301360</v>
      </c>
      <c r="P271" s="2" t="inlineStr">
        <is>
          <t>ZM06</t>
        </is>
      </c>
      <c r="Q271" s="2" t="inlineStr">
        <is>
          <t>OK</t>
        </is>
      </c>
      <c r="R271" s="28" t="n"/>
      <c r="S271" s="28" t="n"/>
      <c r="T271" s="29" t="n"/>
    </row>
    <row r="272" ht="35.1" customFormat="1" customHeight="1" s="5">
      <c r="A272" s="17" t="n">
        <v>270</v>
      </c>
      <c r="B272" s="17" t="inlineStr">
        <is>
          <t>KIPP12</t>
        </is>
      </c>
      <c r="C272" s="14" t="inlineStr">
        <is>
          <t>12LAE50CF003</t>
        </is>
      </c>
      <c r="D272" s="14" t="inlineStr">
        <is>
          <t>HP DESUPERHEATER SPRAY FT 2</t>
        </is>
      </c>
      <c r="E272" s="84" t="n"/>
      <c r="F272" s="75" t="n">
        <v>-621.6</v>
      </c>
      <c r="G272" s="75" t="n">
        <v>621.6</v>
      </c>
      <c r="H272" s="40" t="n">
        <v>0</v>
      </c>
      <c r="I272" s="40" t="n">
        <v>524</v>
      </c>
      <c r="J272" s="4" t="inlineStr">
        <is>
          <t>mBar</t>
        </is>
      </c>
      <c r="K272" s="19" t="inlineStr">
        <is>
          <t>ROSEMOUNT</t>
        </is>
      </c>
      <c r="L272" s="19" t="inlineStr">
        <is>
          <t>2051 PT</t>
        </is>
      </c>
      <c r="M272" s="19" t="n">
        <v>214466</v>
      </c>
      <c r="N272" s="2">
        <f>IF(E272="","Waiting","Calibrated")</f>
        <v/>
      </c>
      <c r="O272" s="2" t="n">
        <v>10301365</v>
      </c>
      <c r="P272" s="2" t="inlineStr">
        <is>
          <t>ZM06</t>
        </is>
      </c>
      <c r="Q272" s="2" t="inlineStr">
        <is>
          <t>OK</t>
        </is>
      </c>
      <c r="R272" s="28" t="n"/>
      <c r="S272" s="28" t="n"/>
      <c r="T272" s="29" t="n"/>
    </row>
    <row r="273" ht="35.1" customFormat="1" customHeight="1" s="5">
      <c r="A273" s="17" t="n">
        <v>271</v>
      </c>
      <c r="B273" s="17" t="inlineStr">
        <is>
          <t>KIPP12</t>
        </is>
      </c>
      <c r="C273" s="14" t="inlineStr">
        <is>
          <t>12LAF40CF002</t>
        </is>
      </c>
      <c r="D273" s="14" t="inlineStr">
        <is>
          <t>RH DESUPERHEATER SPRAY FT 1</t>
        </is>
      </c>
      <c r="E273" s="84" t="n"/>
      <c r="F273" s="75" t="n">
        <v>-635</v>
      </c>
      <c r="G273" s="75" t="n">
        <v>635</v>
      </c>
      <c r="H273" s="40" t="n">
        <v>0</v>
      </c>
      <c r="I273" s="40" t="n">
        <v>322</v>
      </c>
      <c r="J273" s="4" t="inlineStr">
        <is>
          <t>mbar</t>
        </is>
      </c>
      <c r="K273" s="19" t="inlineStr">
        <is>
          <t>YOKOGAWA</t>
        </is>
      </c>
      <c r="L273" s="19" t="inlineStr">
        <is>
          <t>EJA110E</t>
        </is>
      </c>
      <c r="M273" s="19" t="inlineStr">
        <is>
          <t>91S313100</t>
        </is>
      </c>
      <c r="N273" s="2">
        <f>IF(E273="","Waiting","Calibrated")</f>
        <v/>
      </c>
      <c r="O273" s="2" t="n">
        <v>10301366</v>
      </c>
      <c r="P273" s="2" t="inlineStr">
        <is>
          <t>ZM06</t>
        </is>
      </c>
      <c r="Q273" s="2" t="inlineStr">
        <is>
          <t>OK</t>
        </is>
      </c>
      <c r="R273" s="28" t="n"/>
      <c r="S273" s="28" t="n"/>
      <c r="T273" s="29" t="n"/>
    </row>
    <row r="274" ht="35.1" customFormat="1" customHeight="1" s="5">
      <c r="A274" s="17" t="n">
        <v>272</v>
      </c>
      <c r="B274" s="17" t="inlineStr">
        <is>
          <t>KIPP12</t>
        </is>
      </c>
      <c r="C274" s="14" t="inlineStr">
        <is>
          <t>12LAF40CF003</t>
        </is>
      </c>
      <c r="D274" s="14" t="inlineStr">
        <is>
          <t>RH DESUPERHEATER SPRAY FT 2</t>
        </is>
      </c>
      <c r="E274" s="84" t="n"/>
      <c r="F274" s="75" t="n">
        <v>-635</v>
      </c>
      <c r="G274" s="75" t="n">
        <v>635</v>
      </c>
      <c r="H274" s="40" t="n">
        <v>0</v>
      </c>
      <c r="I274" s="40" t="n">
        <v>322</v>
      </c>
      <c r="J274" s="4" t="inlineStr">
        <is>
          <t>mBar</t>
        </is>
      </c>
      <c r="K274" s="19" t="inlineStr">
        <is>
          <t>ROSEMOUNT</t>
        </is>
      </c>
      <c r="L274" s="19" t="inlineStr">
        <is>
          <t>2051 PT</t>
        </is>
      </c>
      <c r="M274" s="19" t="n">
        <v>214481</v>
      </c>
      <c r="N274" s="2">
        <f>IF(E274="","Waiting","Calibrated")</f>
        <v/>
      </c>
      <c r="O274" s="2" t="n">
        <v>10301367</v>
      </c>
      <c r="P274" s="2" t="inlineStr">
        <is>
          <t>ZM06</t>
        </is>
      </c>
      <c r="Q274" s="2" t="inlineStr">
        <is>
          <t>OK</t>
        </is>
      </c>
      <c r="R274" s="28" t="n"/>
      <c r="S274" s="28" t="n"/>
      <c r="T274" s="29" t="n"/>
    </row>
    <row r="275" ht="35.1" customFormat="1" customHeight="1" s="5">
      <c r="A275" s="17" t="n">
        <v>273</v>
      </c>
      <c r="B275" s="17" t="inlineStr">
        <is>
          <t>KIPP12</t>
        </is>
      </c>
      <c r="C275" s="14" t="inlineStr">
        <is>
          <t>12LBA00CP101</t>
        </is>
      </c>
      <c r="D275" s="14" t="inlineStr">
        <is>
          <t>HIGH PRESSURE STEAM PRESSURE</t>
        </is>
      </c>
      <c r="E275" s="84" t="n">
        <v>46098</v>
      </c>
      <c r="F275" s="75" t="n">
        <v>-1</v>
      </c>
      <c r="G275" s="75" t="n">
        <v>500</v>
      </c>
      <c r="H275" s="39" t="n">
        <v>0</v>
      </c>
      <c r="I275" s="39" t="n">
        <v>151</v>
      </c>
      <c r="J275" s="4" t="inlineStr">
        <is>
          <t>Bar</t>
        </is>
      </c>
      <c r="K275" s="19" t="inlineStr">
        <is>
          <t>ROSEMOUNT</t>
        </is>
      </c>
      <c r="L275" s="19" t="inlineStr">
        <is>
          <t>EJA530E</t>
        </is>
      </c>
      <c r="M275" s="19" t="inlineStr">
        <is>
          <t>91S313316</t>
        </is>
      </c>
      <c r="N275" s="2">
        <f>IF(E275="","Waiting","Calibrated")</f>
        <v/>
      </c>
      <c r="O275" s="2" t="n">
        <v>10301416</v>
      </c>
      <c r="P275" s="2" t="inlineStr">
        <is>
          <t>ZM06</t>
        </is>
      </c>
      <c r="Q275" s="2" t="inlineStr">
        <is>
          <t>OK</t>
        </is>
      </c>
      <c r="R275" s="28" t="n"/>
      <c r="S275" s="28" t="n"/>
      <c r="T275" s="29" t="n"/>
    </row>
    <row r="276" ht="35.1" customFormat="1" customHeight="1" s="5">
      <c r="A276" s="17" t="n">
        <v>274</v>
      </c>
      <c r="B276" s="17" t="inlineStr">
        <is>
          <t>KIPP12</t>
        </is>
      </c>
      <c r="C276" s="14" t="inlineStr">
        <is>
          <t>12LBA10CF002</t>
        </is>
      </c>
      <c r="D276" s="14" t="inlineStr">
        <is>
          <t>LP STEAM O/L FT 1</t>
        </is>
      </c>
      <c r="E276" s="84" t="n">
        <v>46097</v>
      </c>
      <c r="F276" s="75" t="n">
        <v>-621.6</v>
      </c>
      <c r="G276" s="75" t="n">
        <v>621.6</v>
      </c>
      <c r="H276" s="40" t="n">
        <v>0</v>
      </c>
      <c r="I276" s="40" t="n">
        <v>115</v>
      </c>
      <c r="J276" s="4" t="inlineStr">
        <is>
          <t>mBar</t>
        </is>
      </c>
      <c r="K276" s="19" t="inlineStr">
        <is>
          <t>ROSEMOUNT</t>
        </is>
      </c>
      <c r="L276" s="19" t="inlineStr">
        <is>
          <t>2051 PT</t>
        </is>
      </c>
      <c r="M276" s="19" t="n">
        <v>214635</v>
      </c>
      <c r="N276" s="2">
        <f>IF(E276="","Waiting","Calibrated")</f>
        <v/>
      </c>
      <c r="O276" s="2" t="n">
        <v>10301802</v>
      </c>
      <c r="P276" s="2" t="inlineStr">
        <is>
          <t>ZM06</t>
        </is>
      </c>
      <c r="Q276" s="2" t="inlineStr">
        <is>
          <t>OK</t>
        </is>
      </c>
      <c r="R276" s="28" t="n"/>
      <c r="S276" s="28" t="n"/>
      <c r="T276" s="29" t="n"/>
    </row>
    <row r="277" ht="35.1" customFormat="1" customHeight="1" s="5">
      <c r="A277" s="17" t="n">
        <v>275</v>
      </c>
      <c r="B277" s="17" t="inlineStr">
        <is>
          <t>KIPP12</t>
        </is>
      </c>
      <c r="C277" s="14" t="inlineStr">
        <is>
          <t>12LBA10CF003</t>
        </is>
      </c>
      <c r="D277" s="14" t="inlineStr">
        <is>
          <t>LP STEAM O/L FT 2</t>
        </is>
      </c>
      <c r="E277" s="84" t="n">
        <v>46097</v>
      </c>
      <c r="F277" s="75" t="n">
        <v>-621.6</v>
      </c>
      <c r="G277" s="75" t="n">
        <v>621.6</v>
      </c>
      <c r="H277" s="40" t="n">
        <v>0</v>
      </c>
      <c r="I277" s="40" t="n">
        <v>115</v>
      </c>
      <c r="J277" s="4" t="inlineStr">
        <is>
          <t>mBar</t>
        </is>
      </c>
      <c r="K277" s="19" t="inlineStr">
        <is>
          <t>ROSEMOUNT</t>
        </is>
      </c>
      <c r="L277" s="19" t="inlineStr">
        <is>
          <t>2051 PT</t>
        </is>
      </c>
      <c r="M277" s="19" t="n">
        <v>214636</v>
      </c>
      <c r="N277" s="2">
        <f>IF(E277="","Waiting","Calibrated")</f>
        <v/>
      </c>
      <c r="O277" s="2" t="n">
        <v>10306306</v>
      </c>
      <c r="P277" s="2" t="inlineStr">
        <is>
          <t>ZM06</t>
        </is>
      </c>
      <c r="Q277" s="2" t="inlineStr">
        <is>
          <t>OK</t>
        </is>
      </c>
      <c r="R277" s="28" t="n"/>
      <c r="S277" s="28" t="n"/>
      <c r="T277" s="29" t="n"/>
    </row>
    <row r="278" ht="35.1" customFormat="1" customHeight="1" s="5">
      <c r="A278" s="17" t="n">
        <v>276</v>
      </c>
      <c r="B278" s="17" t="inlineStr">
        <is>
          <t>KIPP12</t>
        </is>
      </c>
      <c r="C278" s="14" t="inlineStr">
        <is>
          <t>12LBA10CP001</t>
        </is>
      </c>
      <c r="D278" s="14" t="inlineStr">
        <is>
          <t>LP STEAM PT</t>
        </is>
      </c>
      <c r="E278" s="84" t="n">
        <v>46105</v>
      </c>
      <c r="F278" s="75" t="n">
        <v>-1</v>
      </c>
      <c r="G278" s="75" t="n">
        <v>55.16</v>
      </c>
      <c r="H278" s="39" t="n">
        <v>0</v>
      </c>
      <c r="I278" s="39" t="n">
        <v>15</v>
      </c>
      <c r="J278" s="4" t="inlineStr">
        <is>
          <t>Bar</t>
        </is>
      </c>
      <c r="K278" s="19" t="inlineStr">
        <is>
          <t>ROSEMOUNT</t>
        </is>
      </c>
      <c r="L278" s="19" t="inlineStr">
        <is>
          <t>2051 PT</t>
        </is>
      </c>
      <c r="M278" s="20" t="n">
        <v>210454</v>
      </c>
      <c r="N278" s="2">
        <f>IF(E278="","Waiting","Calibrated")</f>
        <v/>
      </c>
      <c r="O278" s="2" t="n">
        <v>10301847</v>
      </c>
      <c r="P278" s="2" t="inlineStr">
        <is>
          <t>ZM06</t>
        </is>
      </c>
      <c r="Q278" s="2" t="inlineStr">
        <is>
          <t>OK</t>
        </is>
      </c>
      <c r="R278" s="28" t="n"/>
      <c r="S278" s="28" t="n"/>
      <c r="T278" s="29" t="n"/>
    </row>
    <row r="279" ht="35.1" customFormat="1" customHeight="1" s="5">
      <c r="A279" s="17" t="n">
        <v>277</v>
      </c>
      <c r="B279" s="17" t="inlineStr">
        <is>
          <t>KIPP12</t>
        </is>
      </c>
      <c r="C279" s="14" t="inlineStr">
        <is>
          <t>12LBA20CP101</t>
        </is>
      </c>
      <c r="D279" s="14" t="inlineStr">
        <is>
          <t>HP BYPASS VALVE OUTLET PRESSURE A</t>
        </is>
      </c>
      <c r="E279" s="84" t="n">
        <v>46098</v>
      </c>
      <c r="F279" s="75" t="n">
        <v>-1</v>
      </c>
      <c r="G279" s="75" t="n">
        <v>100</v>
      </c>
      <c r="H279" s="39" t="n">
        <v>0</v>
      </c>
      <c r="I279" s="39" t="n">
        <v>43</v>
      </c>
      <c r="J279" s="4" t="inlineStr">
        <is>
          <t>Bar</t>
        </is>
      </c>
      <c r="K279" s="19" t="inlineStr">
        <is>
          <t>YOKOGAWA</t>
        </is>
      </c>
      <c r="L279" s="19" t="inlineStr">
        <is>
          <t>EJA530E</t>
        </is>
      </c>
      <c r="M279" s="19" t="inlineStr">
        <is>
          <t>91S313284</t>
        </is>
      </c>
      <c r="N279" s="2">
        <f>IF(E279="","Waiting","Calibrated")</f>
        <v/>
      </c>
      <c r="O279" s="2" t="n">
        <v>10301848</v>
      </c>
      <c r="P279" s="2" t="inlineStr">
        <is>
          <t>ZM06</t>
        </is>
      </c>
      <c r="Q279" s="2" t="inlineStr">
        <is>
          <t>OK</t>
        </is>
      </c>
      <c r="R279" s="28" t="n"/>
      <c r="S279" s="28" t="n"/>
      <c r="T279" s="29" t="n"/>
    </row>
    <row r="280" ht="35.1" customFormat="1" customHeight="1" s="5">
      <c r="A280" s="17" t="n">
        <v>278</v>
      </c>
      <c r="B280" s="17" t="inlineStr">
        <is>
          <t>KIPP12</t>
        </is>
      </c>
      <c r="C280" s="14" t="inlineStr">
        <is>
          <t>12LBA20CP102</t>
        </is>
      </c>
      <c r="D280" s="14" t="inlineStr">
        <is>
          <t>HP BYPASS VALVE OUTLET PRESSURE B</t>
        </is>
      </c>
      <c r="E280" s="84" t="n">
        <v>46098</v>
      </c>
      <c r="F280" s="75" t="n">
        <v>-1</v>
      </c>
      <c r="G280" s="75" t="n">
        <v>100</v>
      </c>
      <c r="H280" s="39" t="n">
        <v>0</v>
      </c>
      <c r="I280" s="39" t="n">
        <v>43</v>
      </c>
      <c r="J280" s="4" t="inlineStr">
        <is>
          <t>Bar</t>
        </is>
      </c>
      <c r="K280" s="19" t="inlineStr">
        <is>
          <t>YOKOGAWA</t>
        </is>
      </c>
      <c r="L280" s="19" t="inlineStr">
        <is>
          <t>EJA530E</t>
        </is>
      </c>
      <c r="M280" s="19" t="inlineStr">
        <is>
          <t>91S313285</t>
        </is>
      </c>
      <c r="N280" s="2">
        <f>IF(E280="","Waiting","Calibrated")</f>
        <v/>
      </c>
      <c r="O280" s="2" t="n">
        <v>10301849</v>
      </c>
      <c r="P280" s="2" t="inlineStr">
        <is>
          <t>ZM06</t>
        </is>
      </c>
      <c r="Q280" s="2" t="inlineStr">
        <is>
          <t>OK</t>
        </is>
      </c>
      <c r="R280" s="28" t="n"/>
      <c r="S280" s="28" t="n"/>
      <c r="T280" s="29" t="n"/>
    </row>
    <row r="281" ht="35.1" customFormat="1" customHeight="1" s="5">
      <c r="A281" s="17" t="n">
        <v>279</v>
      </c>
      <c r="B281" s="17" t="inlineStr">
        <is>
          <t>KIPP12</t>
        </is>
      </c>
      <c r="C281" s="14" t="inlineStr">
        <is>
          <t>12LBA30CF002</t>
        </is>
      </c>
      <c r="D281" s="14" t="inlineStr">
        <is>
          <t>IP STEAM O/L FT 1</t>
        </is>
      </c>
      <c r="E281" s="84" t="n"/>
      <c r="F281" s="75" t="n">
        <v>-621.6</v>
      </c>
      <c r="G281" s="75" t="n">
        <v>621.6</v>
      </c>
      <c r="H281" s="40" t="n">
        <v>0</v>
      </c>
      <c r="I281" s="40" t="n">
        <v>322</v>
      </c>
      <c r="J281" s="4" t="inlineStr">
        <is>
          <t>mBar</t>
        </is>
      </c>
      <c r="K281" s="19" t="inlineStr">
        <is>
          <t>ROSEMOUNT</t>
        </is>
      </c>
      <c r="L281" s="19" t="inlineStr">
        <is>
          <t>2051 PT</t>
        </is>
      </c>
      <c r="M281" s="19" t="n">
        <v>214482</v>
      </c>
      <c r="N281" s="2">
        <f>IF(E281="","Waiting","Calibrated")</f>
        <v/>
      </c>
      <c r="O281" s="2" t="n">
        <v>10301417</v>
      </c>
      <c r="P281" s="2" t="inlineStr">
        <is>
          <t>ZM06</t>
        </is>
      </c>
      <c r="Q281" s="2" t="inlineStr">
        <is>
          <t>OK</t>
        </is>
      </c>
      <c r="R281" s="28" t="n"/>
      <c r="S281" s="28" t="n"/>
      <c r="T281" s="29" t="n"/>
    </row>
    <row r="282" ht="35.1" customFormat="1" customHeight="1" s="5">
      <c r="A282" s="17" t="n">
        <v>280</v>
      </c>
      <c r="B282" s="17" t="inlineStr">
        <is>
          <t>KIPP12</t>
        </is>
      </c>
      <c r="C282" s="14" t="inlineStr">
        <is>
          <t>12LBA30CF003</t>
        </is>
      </c>
      <c r="D282" s="14" t="inlineStr">
        <is>
          <t>IP STEAM O/L FT 2</t>
        </is>
      </c>
      <c r="E282" s="84" t="n"/>
      <c r="F282" s="75" t="n">
        <v>-621.6</v>
      </c>
      <c r="G282" s="75" t="n">
        <v>621.6</v>
      </c>
      <c r="H282" s="40" t="n">
        <v>0</v>
      </c>
      <c r="I282" s="40" t="n">
        <v>322</v>
      </c>
      <c r="J282" s="4" t="inlineStr">
        <is>
          <t>mBar</t>
        </is>
      </c>
      <c r="K282" s="19" t="inlineStr">
        <is>
          <t>ROSEMOUNT</t>
        </is>
      </c>
      <c r="L282" s="19" t="inlineStr">
        <is>
          <t>2051 PT</t>
        </is>
      </c>
      <c r="M282" s="19" t="n">
        <v>214483</v>
      </c>
      <c r="N282" s="2">
        <f>IF(E282="","Waiting","Calibrated")</f>
        <v/>
      </c>
      <c r="O282" s="2" t="n">
        <v>10301418</v>
      </c>
      <c r="P282" s="2" t="inlineStr">
        <is>
          <t>ZM06</t>
        </is>
      </c>
      <c r="Q282" s="2" t="inlineStr">
        <is>
          <t>OK</t>
        </is>
      </c>
      <c r="R282" s="28" t="n"/>
      <c r="S282" s="28" t="n"/>
      <c r="T282" s="29" t="n"/>
    </row>
    <row r="283" ht="35.1" customFormat="1" customHeight="1" s="5">
      <c r="A283" s="17" t="n">
        <v>281</v>
      </c>
      <c r="B283" s="17" t="inlineStr">
        <is>
          <t>KIPP12</t>
        </is>
      </c>
      <c r="C283" s="14" t="inlineStr">
        <is>
          <t>12LBA30CP001</t>
        </is>
      </c>
      <c r="D283" s="14" t="inlineStr">
        <is>
          <t>IP STEAM O/L PT</t>
        </is>
      </c>
      <c r="E283" s="84" t="n"/>
      <c r="F283" s="75" t="n">
        <v>-1.01</v>
      </c>
      <c r="G283" s="75" t="n">
        <v>275.79</v>
      </c>
      <c r="H283" s="39" t="n">
        <v>0</v>
      </c>
      <c r="I283" s="39" t="n">
        <v>60</v>
      </c>
      <c r="J283" s="4" t="inlineStr">
        <is>
          <t>Bar</t>
        </is>
      </c>
      <c r="K283" s="19" t="inlineStr">
        <is>
          <t>ROSEMOUNT</t>
        </is>
      </c>
      <c r="L283" s="19" t="inlineStr">
        <is>
          <t>2051 PT</t>
        </is>
      </c>
      <c r="M283" s="20" t="n">
        <v>210449</v>
      </c>
      <c r="N283" s="2">
        <f>IF(E283="","Waiting","Calibrated")</f>
        <v/>
      </c>
      <c r="O283" s="2" t="n">
        <v>10301423</v>
      </c>
      <c r="P283" s="2" t="inlineStr">
        <is>
          <t>ZM06</t>
        </is>
      </c>
      <c r="Q283" s="2" t="inlineStr">
        <is>
          <t>OK</t>
        </is>
      </c>
      <c r="R283" s="28" t="n"/>
      <c r="S283" s="28" t="n"/>
      <c r="T283" s="29" t="n"/>
    </row>
    <row r="284" ht="35.1" customFormat="1" customHeight="1" s="5">
      <c r="A284" s="17" t="n">
        <v>282</v>
      </c>
      <c r="B284" s="17" t="inlineStr">
        <is>
          <t>KIPP12</t>
        </is>
      </c>
      <c r="C284" s="14" t="inlineStr">
        <is>
          <t>12LBA31CP101</t>
        </is>
      </c>
      <c r="D284" s="14" t="inlineStr">
        <is>
          <t>LP STEAM PT</t>
        </is>
      </c>
      <c r="E284" s="84" t="n">
        <v>46105</v>
      </c>
      <c r="F284" s="75" t="n">
        <v>-1</v>
      </c>
      <c r="G284" s="75" t="n">
        <v>20</v>
      </c>
      <c r="H284" s="39" t="n">
        <v>0</v>
      </c>
      <c r="I284" s="39" t="n">
        <v>10</v>
      </c>
      <c r="J284" s="4" t="inlineStr">
        <is>
          <t>Bar</t>
        </is>
      </c>
      <c r="K284" s="19" t="inlineStr">
        <is>
          <t>YOKOGAWA</t>
        </is>
      </c>
      <c r="L284" s="19" t="inlineStr">
        <is>
          <t>EJA530E</t>
        </is>
      </c>
      <c r="M284" s="19" t="inlineStr">
        <is>
          <t>91S313229</t>
        </is>
      </c>
      <c r="N284" s="2">
        <f>IF(E284="","Waiting","Calibrated")</f>
        <v/>
      </c>
      <c r="O284" s="2" t="n">
        <v>10301424</v>
      </c>
      <c r="P284" s="2" t="inlineStr">
        <is>
          <t>ZM06</t>
        </is>
      </c>
      <c r="Q284" s="2" t="inlineStr">
        <is>
          <t>OK</t>
        </is>
      </c>
      <c r="R284" s="28" t="n"/>
      <c r="S284" s="28" t="n"/>
      <c r="T284" s="29" t="n"/>
    </row>
    <row r="285" ht="35.1" customFormat="1" customHeight="1" s="5">
      <c r="A285" s="17" t="n">
        <v>283</v>
      </c>
      <c r="B285" s="17" t="inlineStr">
        <is>
          <t>KIPP12</t>
        </is>
      </c>
      <c r="C285" s="14" t="inlineStr">
        <is>
          <t>12LBA40CP101</t>
        </is>
      </c>
      <c r="D285" s="14" t="inlineStr">
        <is>
          <t>LP STEAM BYPASS VALVE OUTLET PT</t>
        </is>
      </c>
      <c r="E285" s="84" t="n">
        <v>46104</v>
      </c>
      <c r="F285" s="75" t="n">
        <v>-1</v>
      </c>
      <c r="G285" s="75" t="n">
        <v>20</v>
      </c>
      <c r="H285" s="39" t="n">
        <v>0</v>
      </c>
      <c r="I285" s="39" t="n">
        <v>4</v>
      </c>
      <c r="J285" s="4" t="inlineStr">
        <is>
          <t>Bar</t>
        </is>
      </c>
      <c r="K285" s="19" t="inlineStr">
        <is>
          <t>YOKOGAWA</t>
        </is>
      </c>
      <c r="L285" s="19" t="inlineStr">
        <is>
          <t>EJA530E</t>
        </is>
      </c>
      <c r="M285" s="19" t="inlineStr">
        <is>
          <t>91S313230</t>
        </is>
      </c>
      <c r="N285" s="2">
        <f>IF(E285="","Waiting","Calibrated")</f>
        <v/>
      </c>
      <c r="O285" s="2" t="n">
        <v>10301425</v>
      </c>
      <c r="P285" s="2" t="inlineStr">
        <is>
          <t>ZM06</t>
        </is>
      </c>
      <c r="Q285" s="2" t="inlineStr">
        <is>
          <t>OK</t>
        </is>
      </c>
      <c r="R285" s="28" t="n"/>
      <c r="S285" s="28" t="n"/>
      <c r="T285" s="29" t="n"/>
    </row>
    <row r="286" ht="35.1" customFormat="1" customHeight="1" s="5">
      <c r="A286" s="17" t="n">
        <v>284</v>
      </c>
      <c r="B286" s="17" t="inlineStr">
        <is>
          <t>KIPP12</t>
        </is>
      </c>
      <c r="C286" s="14" t="inlineStr">
        <is>
          <t>12LBA40CP102</t>
        </is>
      </c>
      <c r="D286" s="14" t="inlineStr">
        <is>
          <t>LP STEAM BYPASS VALVE OUTLET PT</t>
        </is>
      </c>
      <c r="E286" s="84" t="n">
        <v>46104</v>
      </c>
      <c r="F286" s="75" t="n">
        <v>-1</v>
      </c>
      <c r="G286" s="75" t="n">
        <v>20</v>
      </c>
      <c r="H286" s="39" t="n">
        <v>0</v>
      </c>
      <c r="I286" s="39" t="n">
        <v>4</v>
      </c>
      <c r="J286" s="4" t="inlineStr">
        <is>
          <t>Bar</t>
        </is>
      </c>
      <c r="K286" s="19" t="inlineStr">
        <is>
          <t>YOKOGAWA</t>
        </is>
      </c>
      <c r="L286" s="19" t="inlineStr">
        <is>
          <t>EJA530E</t>
        </is>
      </c>
      <c r="M286" s="19" t="inlineStr">
        <is>
          <t>91S313231</t>
        </is>
      </c>
      <c r="N286" s="2">
        <f>IF(E286="","Waiting","Calibrated")</f>
        <v/>
      </c>
      <c r="O286" s="2" t="n">
        <v>10295559</v>
      </c>
      <c r="P286" s="2" t="inlineStr">
        <is>
          <t>ZM06</t>
        </is>
      </c>
      <c r="Q286" s="2" t="inlineStr">
        <is>
          <t>OK</t>
        </is>
      </c>
      <c r="R286" s="28" t="n"/>
      <c r="S286" s="28" t="n"/>
      <c r="T286" s="29" t="n"/>
    </row>
    <row r="287" ht="35.1" customFormat="1" customHeight="1" s="5">
      <c r="A287" s="17" t="n">
        <v>285</v>
      </c>
      <c r="B287" s="17" t="inlineStr">
        <is>
          <t>KIPP12</t>
        </is>
      </c>
      <c r="C287" s="14" t="inlineStr">
        <is>
          <t>12LBA50CF002</t>
        </is>
      </c>
      <c r="D287" s="14" t="inlineStr">
        <is>
          <t>HP STEAM O/L FT 1</t>
        </is>
      </c>
      <c r="E287" s="84" t="n"/>
      <c r="F287" s="75" t="n">
        <v>-2468</v>
      </c>
      <c r="G287" s="75" t="n">
        <v>2468</v>
      </c>
      <c r="H287" s="40" t="n">
        <v>0</v>
      </c>
      <c r="I287" s="40" t="n">
        <v>1600</v>
      </c>
      <c r="J287" s="4" t="inlineStr">
        <is>
          <t>mBar</t>
        </is>
      </c>
      <c r="K287" s="19" t="inlineStr">
        <is>
          <t>ROSEMOUNT</t>
        </is>
      </c>
      <c r="L287" s="19" t="inlineStr">
        <is>
          <t>2051 PT</t>
        </is>
      </c>
      <c r="M287" s="19" t="n">
        <v>214476</v>
      </c>
      <c r="N287" s="2">
        <f>IF(E287="","Waiting","Calibrated")</f>
        <v/>
      </c>
      <c r="O287" s="2" t="n">
        <v>10295560</v>
      </c>
      <c r="P287" s="2" t="inlineStr">
        <is>
          <t>ZM06</t>
        </is>
      </c>
      <c r="Q287" s="2" t="inlineStr">
        <is>
          <t>OK</t>
        </is>
      </c>
      <c r="R287" s="28" t="n"/>
      <c r="S287" s="28" t="n"/>
      <c r="T287" s="29" t="n"/>
    </row>
    <row r="288" ht="35.1" customFormat="1" customHeight="1" s="5">
      <c r="A288" s="17" t="n">
        <v>286</v>
      </c>
      <c r="B288" s="17" t="inlineStr">
        <is>
          <t>KIPP12</t>
        </is>
      </c>
      <c r="C288" s="14" t="inlineStr">
        <is>
          <t>12LBA50CF003</t>
        </is>
      </c>
      <c r="D288" s="14" t="inlineStr">
        <is>
          <t>HP STEAM O/L FT 2</t>
        </is>
      </c>
      <c r="E288" s="84" t="n"/>
      <c r="F288" s="75" t="n">
        <v>-2468</v>
      </c>
      <c r="G288" s="75" t="n">
        <v>2468</v>
      </c>
      <c r="H288" s="40" t="n">
        <v>0</v>
      </c>
      <c r="I288" s="40" t="n">
        <v>1600</v>
      </c>
      <c r="J288" s="4" t="inlineStr">
        <is>
          <t>mBar</t>
        </is>
      </c>
      <c r="K288" s="19" t="inlineStr">
        <is>
          <t>ROSEMOUNT</t>
        </is>
      </c>
      <c r="L288" s="19" t="inlineStr">
        <is>
          <t>2051 PT</t>
        </is>
      </c>
      <c r="M288" s="19" t="n">
        <v>214477</v>
      </c>
      <c r="N288" s="2">
        <f>IF(E288="","Waiting","Calibrated")</f>
        <v/>
      </c>
      <c r="O288" s="2" t="n">
        <v>10295561</v>
      </c>
      <c r="P288" s="2" t="inlineStr">
        <is>
          <t>ZM06</t>
        </is>
      </c>
      <c r="Q288" s="2" t="inlineStr">
        <is>
          <t>OK</t>
        </is>
      </c>
      <c r="R288" s="28" t="n"/>
      <c r="S288" s="28" t="n"/>
      <c r="T288" s="29" t="n"/>
    </row>
    <row r="289" ht="35.1" customFormat="1" customHeight="1" s="5">
      <c r="A289" s="17" t="n">
        <v>287</v>
      </c>
      <c r="B289" s="17" t="inlineStr">
        <is>
          <t>KIPP12</t>
        </is>
      </c>
      <c r="C289" s="14" t="inlineStr">
        <is>
          <t>12LBA50CP001</t>
        </is>
      </c>
      <c r="D289" s="14" t="inlineStr">
        <is>
          <t>HP STEAM PT</t>
        </is>
      </c>
      <c r="E289" s="84" t="n"/>
      <c r="F289" s="75" t="n">
        <v>0</v>
      </c>
      <c r="G289" s="75" t="n">
        <v>689.5</v>
      </c>
      <c r="H289" s="39" t="n">
        <v>0</v>
      </c>
      <c r="I289" s="39" t="n">
        <v>200</v>
      </c>
      <c r="J289" s="4" t="inlineStr">
        <is>
          <t>Bar</t>
        </is>
      </c>
      <c r="K289" s="19" t="inlineStr">
        <is>
          <t>ROSEMOUNT</t>
        </is>
      </c>
      <c r="L289" s="19" t="inlineStr">
        <is>
          <t>2051 PT</t>
        </is>
      </c>
      <c r="M289" s="20" t="n">
        <v>210443</v>
      </c>
      <c r="N289" s="2">
        <f>IF(E289="","Waiting","Calibrated")</f>
        <v/>
      </c>
      <c r="O289" s="2" t="n">
        <v>10295562</v>
      </c>
      <c r="P289" s="2" t="inlineStr">
        <is>
          <t>ZM06</t>
        </is>
      </c>
      <c r="Q289" s="2" t="inlineStr">
        <is>
          <t>OK</t>
        </is>
      </c>
      <c r="R289" s="28" t="n"/>
      <c r="S289" s="28" t="n"/>
      <c r="T289" s="29" t="n"/>
    </row>
    <row r="290" ht="35.1" customFormat="1" customHeight="1" s="5">
      <c r="A290" s="17" t="n">
        <v>288</v>
      </c>
      <c r="B290" s="17" t="inlineStr">
        <is>
          <t>KIPP12</t>
        </is>
      </c>
      <c r="C290" s="14" t="inlineStr">
        <is>
          <t>12LBB00CP101</t>
        </is>
      </c>
      <c r="D290" s="14" t="inlineStr">
        <is>
          <t>HOT REHEAT STEAM PT</t>
        </is>
      </c>
      <c r="E290" s="84" t="n">
        <v>46098</v>
      </c>
      <c r="F290" s="75" t="n">
        <v>-1</v>
      </c>
      <c r="G290" s="75" t="n">
        <v>500</v>
      </c>
      <c r="H290" s="39" t="n">
        <v>0</v>
      </c>
      <c r="I290" s="39" t="n">
        <v>50</v>
      </c>
      <c r="J290" s="4" t="inlineStr">
        <is>
          <t>Bar</t>
        </is>
      </c>
      <c r="K290" s="19" t="inlineStr">
        <is>
          <t>YOKOGAWA</t>
        </is>
      </c>
      <c r="L290" s="19" t="inlineStr">
        <is>
          <t>EJA530E</t>
        </is>
      </c>
      <c r="M290" s="19" t="inlineStr">
        <is>
          <t>91S313215</t>
        </is>
      </c>
      <c r="N290" s="2">
        <f>IF(E290="","Waiting","Calibrated")</f>
        <v/>
      </c>
      <c r="O290" s="2" t="n">
        <v>10295563</v>
      </c>
      <c r="P290" s="2" t="inlineStr">
        <is>
          <t>ZM06</t>
        </is>
      </c>
      <c r="Q290" s="2" t="inlineStr">
        <is>
          <t>OK</t>
        </is>
      </c>
      <c r="R290" s="28" t="n"/>
      <c r="S290" s="28" t="n"/>
      <c r="T290" s="29" t="n"/>
    </row>
    <row r="291" ht="35.1" customFormat="1" customHeight="1" s="5">
      <c r="A291" s="17" t="n">
        <v>289</v>
      </c>
      <c r="B291" s="17" t="inlineStr">
        <is>
          <t>KIPP12</t>
        </is>
      </c>
      <c r="C291" s="14" t="inlineStr">
        <is>
          <t>12LBB20CP101</t>
        </is>
      </c>
      <c r="D291" s="14" t="inlineStr">
        <is>
          <t>HOT REHEAT STEAM BYPASS VALVE OUTLET PT</t>
        </is>
      </c>
      <c r="E291" s="84" t="n">
        <v>46104</v>
      </c>
      <c r="F291" s="75" t="n">
        <v>-1</v>
      </c>
      <c r="G291" s="75" t="n">
        <v>20</v>
      </c>
      <c r="H291" s="39" t="n">
        <v>0</v>
      </c>
      <c r="I291" s="39" t="n">
        <v>13</v>
      </c>
      <c r="J291" s="4" t="inlineStr">
        <is>
          <t>Bar</t>
        </is>
      </c>
      <c r="K291" s="19" t="inlineStr">
        <is>
          <t>YOKOGAWA</t>
        </is>
      </c>
      <c r="L291" s="19" t="inlineStr">
        <is>
          <t>EJA530E</t>
        </is>
      </c>
      <c r="M291" s="19" t="inlineStr">
        <is>
          <t>91S313224</t>
        </is>
      </c>
      <c r="N291" s="2">
        <f>IF(E291="","Waiting","Calibrated")</f>
        <v/>
      </c>
      <c r="O291" s="2" t="n">
        <v>10301911</v>
      </c>
      <c r="P291" s="2" t="inlineStr">
        <is>
          <t>ZM06</t>
        </is>
      </c>
      <c r="Q291" s="2" t="inlineStr">
        <is>
          <t>OK</t>
        </is>
      </c>
      <c r="R291" s="28" t="n"/>
      <c r="S291" s="28" t="n"/>
      <c r="T291" s="29" t="n"/>
    </row>
    <row r="292" ht="35.1" customFormat="1" customHeight="1" s="5">
      <c r="A292" s="17" t="n">
        <v>290</v>
      </c>
      <c r="B292" s="17" t="inlineStr">
        <is>
          <t>KIPP12</t>
        </is>
      </c>
      <c r="C292" s="14" t="inlineStr">
        <is>
          <t>12LBB20CP102</t>
        </is>
      </c>
      <c r="D292" s="14" t="inlineStr">
        <is>
          <t>HOT REHEAT STEAM BYPASS VALVE OUTLET PT</t>
        </is>
      </c>
      <c r="E292" s="84" t="n">
        <v>46104</v>
      </c>
      <c r="F292" s="75" t="n">
        <v>-1</v>
      </c>
      <c r="G292" s="75" t="n">
        <v>20</v>
      </c>
      <c r="H292" s="39" t="n">
        <v>0</v>
      </c>
      <c r="I292" s="39" t="n">
        <v>13</v>
      </c>
      <c r="J292" s="4" t="inlineStr">
        <is>
          <t>Bar</t>
        </is>
      </c>
      <c r="K292" s="19" t="inlineStr">
        <is>
          <t>YOKOGAWA</t>
        </is>
      </c>
      <c r="L292" s="19" t="inlineStr">
        <is>
          <t>EJA530E</t>
        </is>
      </c>
      <c r="M292" s="19" t="inlineStr">
        <is>
          <t>91S313225</t>
        </is>
      </c>
      <c r="N292" s="2">
        <f>IF(E292="","Waiting","Calibrated")</f>
        <v/>
      </c>
      <c r="O292" s="2" t="n">
        <v>10301917</v>
      </c>
      <c r="P292" s="2" t="inlineStr">
        <is>
          <t>ZM06</t>
        </is>
      </c>
      <c r="Q292" s="2" t="inlineStr">
        <is>
          <t>OK</t>
        </is>
      </c>
      <c r="R292" s="28" t="n"/>
      <c r="S292" s="28" t="n"/>
      <c r="T292" s="29" t="n"/>
    </row>
    <row r="293" ht="35.1" customFormat="1" customHeight="1" s="5">
      <c r="A293" s="17" t="n">
        <v>291</v>
      </c>
      <c r="B293" s="17" t="inlineStr">
        <is>
          <t>KIPP12</t>
        </is>
      </c>
      <c r="C293" s="14" t="inlineStr">
        <is>
          <t>12LBB40CP001</t>
        </is>
      </c>
      <c r="D293" s="14" t="inlineStr">
        <is>
          <t>RH STEAM PT</t>
        </is>
      </c>
      <c r="E293" s="84" t="n"/>
      <c r="F293" s="75" t="n">
        <v>-1.01</v>
      </c>
      <c r="G293" s="75" t="n">
        <v>275.79</v>
      </c>
      <c r="H293" s="39" t="n">
        <v>0</v>
      </c>
      <c r="I293" s="39" t="n">
        <v>50</v>
      </c>
      <c r="J293" s="4" t="inlineStr">
        <is>
          <t>Bar</t>
        </is>
      </c>
      <c r="K293" s="19" t="inlineStr">
        <is>
          <t>ROSEMOUNT</t>
        </is>
      </c>
      <c r="L293" s="19" t="inlineStr">
        <is>
          <t>2051 PT</t>
        </is>
      </c>
      <c r="M293" s="20" t="n">
        <v>210450</v>
      </c>
      <c r="N293" s="2">
        <f>IF(E293="","Waiting","Calibrated")</f>
        <v/>
      </c>
      <c r="O293" s="2" t="n">
        <v>10301918</v>
      </c>
      <c r="P293" s="2" t="inlineStr">
        <is>
          <t>ZM06</t>
        </is>
      </c>
      <c r="Q293" s="2" t="inlineStr">
        <is>
          <t>OK</t>
        </is>
      </c>
      <c r="R293" s="28" t="n"/>
      <c r="S293" s="28" t="n"/>
      <c r="T293" s="29" t="n"/>
    </row>
    <row r="294" ht="35.1" customFormat="1" customHeight="1" s="5">
      <c r="A294" s="17" t="n">
        <v>292</v>
      </c>
      <c r="B294" s="17" t="inlineStr">
        <is>
          <t>KIPP12</t>
        </is>
      </c>
      <c r="C294" s="14" t="inlineStr">
        <is>
          <t>12LBC00CF101</t>
        </is>
      </c>
      <c r="D294" s="14" t="inlineStr">
        <is>
          <t>COLD REHEAT STEAM FLOW A</t>
        </is>
      </c>
      <c r="E294" s="84" t="n"/>
      <c r="F294" s="75" t="n">
        <v>-10197.2</v>
      </c>
      <c r="G294" s="75" t="n">
        <v>10197.2</v>
      </c>
      <c r="H294" s="40" t="n">
        <v>0</v>
      </c>
      <c r="I294" s="40" t="n">
        <v>2312</v>
      </c>
      <c r="J294" s="4" t="inlineStr">
        <is>
          <t>mmH2O</t>
        </is>
      </c>
      <c r="K294" s="19" t="inlineStr">
        <is>
          <t>YOKOGAWA</t>
        </is>
      </c>
      <c r="L294" s="19" t="inlineStr">
        <is>
          <t>EJA110E</t>
        </is>
      </c>
      <c r="M294" s="19" t="inlineStr">
        <is>
          <t>91S313073</t>
        </is>
      </c>
      <c r="N294" s="2">
        <f>IF(E294="","Waiting","Calibrated")</f>
        <v/>
      </c>
      <c r="O294" s="2" t="n">
        <v>10301948</v>
      </c>
      <c r="P294" s="2" t="inlineStr">
        <is>
          <t>ZM06</t>
        </is>
      </c>
      <c r="Q294" s="2" t="inlineStr">
        <is>
          <t>OK</t>
        </is>
      </c>
      <c r="R294" s="28" t="n"/>
      <c r="S294" s="28" t="n"/>
      <c r="T294" s="29" t="n"/>
    </row>
    <row r="295" ht="35.1" customFormat="1" customHeight="1" s="5">
      <c r="A295" s="17" t="n">
        <v>293</v>
      </c>
      <c r="B295" s="17" t="inlineStr">
        <is>
          <t>KIPP12</t>
        </is>
      </c>
      <c r="C295" s="14" t="inlineStr">
        <is>
          <t>12LBC00CF102</t>
        </is>
      </c>
      <c r="D295" s="14" t="inlineStr">
        <is>
          <t>COLD REHEAT STEAM FLOW B</t>
        </is>
      </c>
      <c r="E295" s="84" t="n"/>
      <c r="F295" s="75" t="n">
        <v>-10197.2</v>
      </c>
      <c r="G295" s="75" t="n">
        <v>10197.2</v>
      </c>
      <c r="H295" s="40" t="n">
        <v>0</v>
      </c>
      <c r="I295" s="40" t="n">
        <v>2312</v>
      </c>
      <c r="J295" s="4" t="inlineStr">
        <is>
          <t>mmH2O</t>
        </is>
      </c>
      <c r="K295" s="19" t="inlineStr">
        <is>
          <t>YOKOGAWA</t>
        </is>
      </c>
      <c r="L295" s="19" t="inlineStr">
        <is>
          <t>EJA110E</t>
        </is>
      </c>
      <c r="M295" s="19" t="inlineStr">
        <is>
          <t>91S313074</t>
        </is>
      </c>
      <c r="N295" s="2">
        <f>IF(E295="","Waiting","Calibrated")</f>
        <v/>
      </c>
      <c r="O295" s="2" t="n">
        <v>10301949</v>
      </c>
      <c r="P295" s="2" t="inlineStr">
        <is>
          <t>ZM06</t>
        </is>
      </c>
      <c r="Q295" s="2" t="inlineStr">
        <is>
          <t>OK</t>
        </is>
      </c>
      <c r="R295" s="28" t="n"/>
      <c r="S295" s="28" t="n"/>
      <c r="T295" s="29" t="n"/>
    </row>
    <row r="296" ht="35.1" customFormat="1" customHeight="1" s="5">
      <c r="A296" s="17" t="n">
        <v>294</v>
      </c>
      <c r="B296" s="17" t="inlineStr">
        <is>
          <t>KIPP12</t>
        </is>
      </c>
      <c r="C296" s="14" t="inlineStr">
        <is>
          <t>12LBC00CP101</t>
        </is>
      </c>
      <c r="D296" s="14" t="inlineStr">
        <is>
          <t>COLD REHEAT STEAM PRESSURE</t>
        </is>
      </c>
      <c r="E296" s="84" t="n"/>
      <c r="F296" s="75" t="n">
        <v>-1</v>
      </c>
      <c r="G296" s="75" t="n">
        <v>100</v>
      </c>
      <c r="H296" s="39" t="n">
        <v>0</v>
      </c>
      <c r="I296" s="39" t="n">
        <v>43</v>
      </c>
      <c r="J296" s="4" t="inlineStr">
        <is>
          <t>Bar</t>
        </is>
      </c>
      <c r="K296" s="19" t="inlineStr">
        <is>
          <t>YOKOGAWA</t>
        </is>
      </c>
      <c r="L296" s="19" t="inlineStr">
        <is>
          <t>EJA530E</t>
        </is>
      </c>
      <c r="M296" s="19" t="inlineStr">
        <is>
          <t>91S213288</t>
        </is>
      </c>
      <c r="N296" s="2">
        <f>IF(E296="","Waiting","Calibrated")</f>
        <v/>
      </c>
      <c r="O296" s="2" t="n">
        <v>10301950</v>
      </c>
      <c r="P296" s="2" t="inlineStr">
        <is>
          <t>ZM06</t>
        </is>
      </c>
      <c r="Q296" s="2" t="inlineStr">
        <is>
          <t>OK</t>
        </is>
      </c>
      <c r="R296" s="28" t="n"/>
      <c r="S296" s="28" t="n"/>
      <c r="T296" s="29" t="n"/>
    </row>
    <row r="297" ht="35.1" customFormat="1" customHeight="1" s="5">
      <c r="A297" s="17" t="n">
        <v>295</v>
      </c>
      <c r="B297" s="17" t="inlineStr">
        <is>
          <t>KIPP12</t>
        </is>
      </c>
      <c r="C297" s="14" t="inlineStr">
        <is>
          <t>12LBC30CP001</t>
        </is>
      </c>
      <c r="D297" s="14" t="inlineStr">
        <is>
          <t>COLD REHEAT PRESSURE</t>
        </is>
      </c>
      <c r="E297" s="84" t="n"/>
      <c r="F297" s="75" t="n">
        <v>-1.01</v>
      </c>
      <c r="G297" s="75" t="n">
        <v>275.79</v>
      </c>
      <c r="H297" s="39" t="n">
        <v>0</v>
      </c>
      <c r="I297" s="39" t="n">
        <v>60</v>
      </c>
      <c r="J297" s="4" t="inlineStr">
        <is>
          <t>Bar</t>
        </is>
      </c>
      <c r="K297" s="19" t="inlineStr">
        <is>
          <t>ROSEMOUNT</t>
        </is>
      </c>
      <c r="L297" s="19" t="inlineStr">
        <is>
          <t>2051 PT</t>
        </is>
      </c>
      <c r="M297" s="20" t="n">
        <v>210451</v>
      </c>
      <c r="N297" s="2">
        <f>IF(E297="","Waiting","Calibrated")</f>
        <v/>
      </c>
      <c r="O297" s="2" t="n">
        <v>10301985</v>
      </c>
      <c r="P297" s="2" t="inlineStr">
        <is>
          <t>ZM06</t>
        </is>
      </c>
      <c r="Q297" s="2" t="inlineStr">
        <is>
          <t>OK</t>
        </is>
      </c>
      <c r="R297" s="28" t="n"/>
      <c r="S297" s="28" t="n"/>
      <c r="T297" s="29" t="n"/>
    </row>
    <row r="298" ht="35.1" customFormat="1" customHeight="1" s="5">
      <c r="A298" s="17" t="n">
        <v>296</v>
      </c>
      <c r="B298" s="17" t="inlineStr">
        <is>
          <t>KIPP12</t>
        </is>
      </c>
      <c r="C298" s="14" t="inlineStr">
        <is>
          <t>12LBG91CP001</t>
        </is>
      </c>
      <c r="D298" s="14" t="inlineStr">
        <is>
          <t>GT OTC OUT STEAM LINE PT-1</t>
        </is>
      </c>
      <c r="E298" s="84" t="n"/>
      <c r="F298" s="75" t="n">
        <v>-1</v>
      </c>
      <c r="G298" s="75" t="n">
        <v>500</v>
      </c>
      <c r="H298" s="40" t="n">
        <v>0</v>
      </c>
      <c r="I298" s="40" t="n">
        <v>192</v>
      </c>
      <c r="J298" s="4" t="inlineStr">
        <is>
          <t>Bar</t>
        </is>
      </c>
      <c r="K298" s="19" t="inlineStr">
        <is>
          <t>YOKOGAWA</t>
        </is>
      </c>
      <c r="L298" s="19" t="inlineStr">
        <is>
          <t>EJA530E</t>
        </is>
      </c>
      <c r="M298" s="19" t="inlineStr">
        <is>
          <t>91S213325</t>
        </is>
      </c>
      <c r="N298" s="2">
        <f>IF(E298="","Waiting","Calibrated")</f>
        <v/>
      </c>
      <c r="O298" s="2" t="n">
        <v>10301995</v>
      </c>
      <c r="P298" s="2" t="inlineStr">
        <is>
          <t>ZM06</t>
        </is>
      </c>
      <c r="Q298" s="2" t="inlineStr">
        <is>
          <t>OK</t>
        </is>
      </c>
      <c r="R298" s="28" t="n"/>
      <c r="S298" s="28" t="n"/>
      <c r="T298" s="29" t="n"/>
    </row>
    <row r="299" ht="35.1" customFormat="1" customHeight="1" s="5">
      <c r="A299" s="17" t="n">
        <v>297</v>
      </c>
      <c r="B299" s="17" t="inlineStr">
        <is>
          <t>KIPP12</t>
        </is>
      </c>
      <c r="C299" s="14" t="inlineStr">
        <is>
          <t>12LBG91CP002</t>
        </is>
      </c>
      <c r="D299" s="14" t="inlineStr">
        <is>
          <t>GT OTC OUT STEAM LINE PT-1</t>
        </is>
      </c>
      <c r="E299" s="84" t="n"/>
      <c r="F299" s="75" t="n">
        <v>-1</v>
      </c>
      <c r="G299" s="75" t="n">
        <v>500</v>
      </c>
      <c r="H299" s="40" t="n">
        <v>0</v>
      </c>
      <c r="I299" s="40" t="n">
        <v>192</v>
      </c>
      <c r="J299" s="4" t="inlineStr">
        <is>
          <t>Bar</t>
        </is>
      </c>
      <c r="K299" s="19" t="inlineStr">
        <is>
          <t>YOKOGAWA</t>
        </is>
      </c>
      <c r="L299" s="19" t="inlineStr">
        <is>
          <t>EJA530E</t>
        </is>
      </c>
      <c r="M299" s="19" t="inlineStr">
        <is>
          <t>91S213327</t>
        </is>
      </c>
      <c r="N299" s="2">
        <f>IF(E299="","Waiting","Calibrated")</f>
        <v/>
      </c>
      <c r="O299" s="2" t="n">
        <v>10301996</v>
      </c>
      <c r="P299" s="2" t="inlineStr">
        <is>
          <t>ZM06</t>
        </is>
      </c>
      <c r="Q299" s="2" t="inlineStr">
        <is>
          <t>OK</t>
        </is>
      </c>
      <c r="R299" s="28" t="n"/>
      <c r="S299" s="28" t="n"/>
      <c r="T299" s="29" t="n"/>
    </row>
    <row r="300" ht="35.1" customFormat="1" customHeight="1" s="5">
      <c r="A300" s="17" t="n">
        <v>298</v>
      </c>
      <c r="B300" s="17" t="inlineStr">
        <is>
          <t>KIPP12</t>
        </is>
      </c>
      <c r="C300" s="14" t="inlineStr">
        <is>
          <t>12LCA20CF101</t>
        </is>
      </c>
      <c r="D300" s="14" t="inlineStr">
        <is>
          <t>LP STEAM BYPASS SPRAYAY WATER FT</t>
        </is>
      </c>
      <c r="E300" s="84" t="n">
        <v>46097</v>
      </c>
      <c r="F300" s="75" t="n">
        <v>-10197.2</v>
      </c>
      <c r="G300" s="75" t="n">
        <v>10197.2</v>
      </c>
      <c r="H300" s="40" t="n">
        <v>0</v>
      </c>
      <c r="I300" s="40" t="n">
        <v>5000</v>
      </c>
      <c r="J300" s="4" t="inlineStr">
        <is>
          <t>mmH2O</t>
        </is>
      </c>
      <c r="K300" s="19" t="inlineStr">
        <is>
          <t>YOKOGAWA</t>
        </is>
      </c>
      <c r="L300" s="19" t="inlineStr">
        <is>
          <t>EJA110E</t>
        </is>
      </c>
      <c r="M300" s="19" t="inlineStr">
        <is>
          <t>91S313063</t>
        </is>
      </c>
      <c r="N300" s="2">
        <f>IF(E300="","Waiting","Calibrated")</f>
        <v/>
      </c>
      <c r="O300" s="2" t="n">
        <v>10302010</v>
      </c>
      <c r="P300" s="2" t="inlineStr">
        <is>
          <t>ZM06</t>
        </is>
      </c>
      <c r="Q300" s="2" t="inlineStr">
        <is>
          <t>OK</t>
        </is>
      </c>
      <c r="R300" s="28" t="n"/>
      <c r="S300" s="28" t="n"/>
      <c r="T300" s="29" t="n"/>
    </row>
    <row r="301" ht="35.1" customFormat="1" customHeight="1" s="5">
      <c r="A301" s="17" t="n">
        <v>299</v>
      </c>
      <c r="B301" s="17" t="inlineStr">
        <is>
          <t>KIPP12</t>
        </is>
      </c>
      <c r="C301" s="14" t="inlineStr">
        <is>
          <t>12LCA21CF101</t>
        </is>
      </c>
      <c r="D301" s="14" t="inlineStr">
        <is>
          <t>HOT REHEAT STEAM BYPASS SPRAYAY WATER FT</t>
        </is>
      </c>
      <c r="E301" s="84" t="n">
        <v>46097</v>
      </c>
      <c r="F301" s="75" t="n">
        <v>-10197.2</v>
      </c>
      <c r="G301" s="75" t="n">
        <v>10197.2</v>
      </c>
      <c r="H301" s="40" t="n">
        <v>0</v>
      </c>
      <c r="I301" s="40" t="n">
        <v>5000</v>
      </c>
      <c r="J301" s="4" t="inlineStr">
        <is>
          <t>mmH2O</t>
        </is>
      </c>
      <c r="K301" s="19" t="inlineStr">
        <is>
          <t>YOKOGAWA</t>
        </is>
      </c>
      <c r="L301" s="19" t="inlineStr">
        <is>
          <t>EJA110E</t>
        </is>
      </c>
      <c r="M301" s="19" t="inlineStr">
        <is>
          <t>91S313061</t>
        </is>
      </c>
      <c r="N301" s="2">
        <f>IF(E301="","Waiting","Calibrated")</f>
        <v/>
      </c>
      <c r="O301" s="2" t="n">
        <v>10302077</v>
      </c>
      <c r="P301" s="2" t="inlineStr">
        <is>
          <t>ZM06</t>
        </is>
      </c>
      <c r="Q301" s="2" t="inlineStr">
        <is>
          <t>OK</t>
        </is>
      </c>
      <c r="R301" s="28" t="n"/>
      <c r="S301" s="28" t="n"/>
      <c r="T301" s="29" t="n"/>
    </row>
    <row r="302" ht="35.1" customFormat="1" customHeight="1" s="5">
      <c r="A302" s="17" t="n">
        <v>300</v>
      </c>
      <c r="B302" s="17" t="inlineStr">
        <is>
          <t>KIPP12</t>
        </is>
      </c>
      <c r="C302" s="14" t="inlineStr">
        <is>
          <t>12MBA30CP001</t>
        </is>
      </c>
      <c r="D302" s="14" t="inlineStr">
        <is>
          <t>PRESSURE MEASUREMENT EXHAUST DIFFUSER</t>
        </is>
      </c>
      <c r="E302" s="84" t="n"/>
      <c r="F302" s="75" t="n">
        <v>0</v>
      </c>
      <c r="G302" s="75" t="n">
        <v>2.0684</v>
      </c>
      <c r="H302" s="40" t="n">
        <v>0.8</v>
      </c>
      <c r="I302" s="40" t="n">
        <v>1.2</v>
      </c>
      <c r="J302" s="4" t="inlineStr">
        <is>
          <t>Bar</t>
        </is>
      </c>
      <c r="K302" s="19" t="inlineStr">
        <is>
          <t>ROSEMOUNT</t>
        </is>
      </c>
      <c r="L302" s="19" t="inlineStr">
        <is>
          <t>3051 PT</t>
        </is>
      </c>
      <c r="M302" s="19" t="n">
        <v>9824808</v>
      </c>
      <c r="N302" s="2">
        <f>IF(E302="","Waiting","Calibrated")</f>
        <v/>
      </c>
      <c r="O302" s="2" t="n">
        <v>10302078</v>
      </c>
      <c r="P302" s="2" t="inlineStr">
        <is>
          <t>ZM06</t>
        </is>
      </c>
      <c r="Q302" s="2" t="n"/>
      <c r="R302" s="28" t="n"/>
      <c r="S302" s="28" t="n"/>
      <c r="T302" s="29" t="n"/>
    </row>
    <row r="303" ht="35.1" customFormat="1" customHeight="1" s="5">
      <c r="A303" s="17" t="n">
        <v>301</v>
      </c>
      <c r="B303" s="17" t="inlineStr">
        <is>
          <t>KIPP12</t>
        </is>
      </c>
      <c r="C303" s="14" t="inlineStr">
        <is>
          <t>12MBA30CP003</t>
        </is>
      </c>
      <c r="D303" s="14" t="inlineStr">
        <is>
          <t>PRESSURE MEASUREMENT EXHAUST DIFFUSER</t>
        </is>
      </c>
      <c r="E303" s="84" t="n"/>
      <c r="F303" s="75" t="n">
        <v>0</v>
      </c>
      <c r="G303" s="75" t="n">
        <v>2.0684</v>
      </c>
      <c r="H303" s="40" t="n">
        <v>0.8</v>
      </c>
      <c r="I303" s="40" t="n">
        <v>1.2</v>
      </c>
      <c r="J303" s="4" t="inlineStr">
        <is>
          <t>Bar</t>
        </is>
      </c>
      <c r="K303" s="19" t="inlineStr">
        <is>
          <t>ROSEMOUNT</t>
        </is>
      </c>
      <c r="L303" s="19" t="inlineStr">
        <is>
          <t>3051 PT</t>
        </is>
      </c>
      <c r="M303" s="19" t="n">
        <v>9824809</v>
      </c>
      <c r="N303" s="2">
        <f>IF(E303="","Waiting","Calibrated")</f>
        <v/>
      </c>
      <c r="O303" s="2" t="n">
        <v>10302085</v>
      </c>
      <c r="P303" s="2" t="inlineStr">
        <is>
          <t>ZM06</t>
        </is>
      </c>
      <c r="Q303" s="2" t="n"/>
      <c r="R303" s="28" t="n"/>
      <c r="S303" s="28" t="n"/>
      <c r="T303" s="29" t="n"/>
    </row>
    <row r="304" ht="35.1" customFormat="1" customHeight="1" s="5">
      <c r="A304" s="17" t="n">
        <v>302</v>
      </c>
      <c r="B304" s="17" t="inlineStr">
        <is>
          <t>KIPP12</t>
        </is>
      </c>
      <c r="C304" s="14" t="inlineStr">
        <is>
          <t>12MBA30CP004</t>
        </is>
      </c>
      <c r="D304" s="14" t="inlineStr">
        <is>
          <t>PRESSURE MEASUREMENT EXHAUST DIFFUSER</t>
        </is>
      </c>
      <c r="E304" s="84" t="n"/>
      <c r="F304" s="75" t="n">
        <v>0</v>
      </c>
      <c r="G304" s="75" t="n">
        <v>2.0684</v>
      </c>
      <c r="H304" s="40" t="n">
        <v>0.8</v>
      </c>
      <c r="I304" s="40" t="n">
        <v>1.2</v>
      </c>
      <c r="J304" s="4" t="inlineStr">
        <is>
          <t>Bar</t>
        </is>
      </c>
      <c r="K304" s="19" t="inlineStr">
        <is>
          <t>ROSEMOUNT</t>
        </is>
      </c>
      <c r="L304" s="19" t="inlineStr">
        <is>
          <t>3051 PT</t>
        </is>
      </c>
      <c r="M304" s="19" t="n">
        <v>9824810</v>
      </c>
      <c r="N304" s="2">
        <f>IF(E304="","Waiting","Calibrated")</f>
        <v/>
      </c>
      <c r="O304" s="2" t="n">
        <v>10302093</v>
      </c>
      <c r="P304" s="2" t="inlineStr">
        <is>
          <t>ZM06</t>
        </is>
      </c>
      <c r="Q304" s="2" t="n"/>
      <c r="R304" s="28" t="n"/>
      <c r="S304" s="28" t="n"/>
      <c r="T304" s="29" t="n"/>
    </row>
    <row r="305" ht="35.1" customFormat="1" customHeight="1" s="5">
      <c r="A305" s="17" t="n">
        <v>303</v>
      </c>
      <c r="B305" s="17" t="inlineStr">
        <is>
          <t>KIPP12</t>
        </is>
      </c>
      <c r="C305" s="14" t="inlineStr">
        <is>
          <t>12MBA80CP051</t>
        </is>
      </c>
      <c r="D305" s="14" t="inlineStr">
        <is>
          <t>GT AFT COMPRESSOR 1H PT</t>
        </is>
      </c>
      <c r="E305" s="84" t="n"/>
      <c r="F305" s="75" t="n">
        <v>-137.89</v>
      </c>
      <c r="G305" s="75" t="n">
        <v>137.89</v>
      </c>
      <c r="H305" s="39" t="n">
        <v>0</v>
      </c>
      <c r="I305" s="39" t="n">
        <v>40</v>
      </c>
      <c r="J305" s="4" t="inlineStr">
        <is>
          <t>Bar</t>
        </is>
      </c>
      <c r="K305" s="19" t="inlineStr">
        <is>
          <t>ROSEMOUNT</t>
        </is>
      </c>
      <c r="L305" s="19" t="inlineStr">
        <is>
          <t>3051CG</t>
        </is>
      </c>
      <c r="M305" s="20" t="n">
        <v>9825265</v>
      </c>
      <c r="N305" s="2">
        <f>IF(E305="","Waiting","Calibrated")</f>
        <v/>
      </c>
      <c r="O305" s="2" t="n">
        <v>10302101</v>
      </c>
      <c r="P305" s="2" t="inlineStr">
        <is>
          <t>ZM06</t>
        </is>
      </c>
      <c r="Q305" s="2" t="n"/>
      <c r="R305" s="28" t="inlineStr">
        <is>
          <t>3051CG5A22A1BE8Q4CTA9258</t>
        </is>
      </c>
      <c r="S305" s="28" t="n"/>
      <c r="T305" s="29" t="n"/>
    </row>
    <row r="306" ht="35.1" customFormat="1" customHeight="1" s="5">
      <c r="A306" s="17" t="n">
        <v>304</v>
      </c>
      <c r="B306" s="17" t="inlineStr">
        <is>
          <t>KIPP12</t>
        </is>
      </c>
      <c r="C306" s="14" t="inlineStr">
        <is>
          <t>12MBA80CP052</t>
        </is>
      </c>
      <c r="D306" s="14" t="inlineStr">
        <is>
          <t>GT AFT COMPRESSOR 4H PT</t>
        </is>
      </c>
      <c r="E306" s="84" t="n"/>
      <c r="F306" s="75" t="n">
        <v>-137.89</v>
      </c>
      <c r="G306" s="75" t="n">
        <v>137.89</v>
      </c>
      <c r="H306" s="39" t="n">
        <v>0</v>
      </c>
      <c r="I306" s="39" t="n">
        <v>40</v>
      </c>
      <c r="J306" s="4" t="inlineStr">
        <is>
          <t>Bar</t>
        </is>
      </c>
      <c r="K306" s="19" t="inlineStr">
        <is>
          <t>ROSEMOUNT</t>
        </is>
      </c>
      <c r="L306" s="19" t="inlineStr">
        <is>
          <t>3051CG</t>
        </is>
      </c>
      <c r="M306" s="20" t="n">
        <v>9825266</v>
      </c>
      <c r="N306" s="2">
        <f>IF(E306="","Waiting","Calibrated")</f>
        <v/>
      </c>
      <c r="O306" s="2" t="n">
        <v>10301358</v>
      </c>
      <c r="P306" s="2" t="inlineStr">
        <is>
          <t>ZM06</t>
        </is>
      </c>
      <c r="Q306" s="2" t="n"/>
      <c r="R306" s="28" t="inlineStr">
        <is>
          <t>3051CG5A22A1BE8Q4CTA9258</t>
        </is>
      </c>
      <c r="S306" s="28" t="n"/>
      <c r="T306" s="29" t="n"/>
    </row>
    <row r="307" ht="35.1" customFormat="1" customHeight="1" s="5">
      <c r="A307" s="17" t="n">
        <v>305</v>
      </c>
      <c r="B307" s="17" t="inlineStr">
        <is>
          <t>KIPP12</t>
        </is>
      </c>
      <c r="C307" s="14" t="inlineStr">
        <is>
          <t>12MBA80CP054</t>
        </is>
      </c>
      <c r="D307" s="14" t="inlineStr">
        <is>
          <t>P AFT COMPRESSOR 8H PT</t>
        </is>
      </c>
      <c r="E307" s="84" t="n"/>
      <c r="F307" s="75" t="n">
        <v>-137.89</v>
      </c>
      <c r="G307" s="75" t="n">
        <v>137.89</v>
      </c>
      <c r="H307" s="39" t="n">
        <v>0</v>
      </c>
      <c r="I307" s="39" t="n">
        <v>40</v>
      </c>
      <c r="J307" s="4" t="inlineStr">
        <is>
          <t>Bar</t>
        </is>
      </c>
      <c r="K307" s="19" t="inlineStr">
        <is>
          <t>ROSEMOUNT</t>
        </is>
      </c>
      <c r="L307" s="20" t="n">
        <v>3051</v>
      </c>
      <c r="M307" s="20" t="n">
        <v>9825267</v>
      </c>
      <c r="N307" s="2">
        <f>IF(E307="","Waiting","Calibrated")</f>
        <v/>
      </c>
      <c r="O307" s="2" t="n">
        <v>10301359</v>
      </c>
      <c r="P307" s="2" t="inlineStr">
        <is>
          <t>ZM06</t>
        </is>
      </c>
      <c r="Q307" s="2" t="n"/>
      <c r="R307" s="28" t="inlineStr">
        <is>
          <t>3051CG5A22A1BE8Q4CTA9258</t>
        </is>
      </c>
      <c r="S307" s="28" t="n"/>
      <c r="T307" s="29" t="n"/>
    </row>
    <row r="308" ht="35.1" customFormat="1" customHeight="1" s="5">
      <c r="A308" s="17" t="n">
        <v>306</v>
      </c>
      <c r="B308" s="17" t="inlineStr">
        <is>
          <t>KIPP12</t>
        </is>
      </c>
      <c r="C308" s="14" t="inlineStr">
        <is>
          <t>12MBE41CP013</t>
        </is>
      </c>
      <c r="D308" s="14" t="inlineStr">
        <is>
          <t>GT H/F WATER PUMP SUCTION FILTER PDT</t>
        </is>
      </c>
      <c r="E308" s="84" t="n"/>
      <c r="F308" s="75" t="n"/>
      <c r="G308" s="75" t="n"/>
      <c r="H308" s="40" t="n">
        <v>-1000</v>
      </c>
      <c r="I308" s="40" t="n">
        <v>2200</v>
      </c>
      <c r="J308" s="4" t="inlineStr">
        <is>
          <t>mBar</t>
        </is>
      </c>
      <c r="K308" s="19" t="inlineStr">
        <is>
          <t>ROSEMOUNT</t>
        </is>
      </c>
      <c r="L308" s="19" t="inlineStr">
        <is>
          <t>2088TG</t>
        </is>
      </c>
      <c r="M308" s="20" t="n">
        <v>2753519</v>
      </c>
      <c r="N308" s="2">
        <f>IF(E308="","Waiting","Calibrated")</f>
        <v/>
      </c>
      <c r="O308" s="2" t="n">
        <v>10301360</v>
      </c>
      <c r="P308" s="2" t="inlineStr">
        <is>
          <t>ZM06</t>
        </is>
      </c>
      <c r="Q308" s="2" t="n"/>
      <c r="R308" s="28" t="n"/>
      <c r="S308" s="28" t="n"/>
      <c r="T308" s="29" t="n"/>
    </row>
    <row r="309" ht="35.1" customFormat="1" customHeight="1" s="5">
      <c r="A309" s="17" t="n">
        <v>307</v>
      </c>
      <c r="B309" s="17" t="inlineStr">
        <is>
          <t>KIPP12</t>
        </is>
      </c>
      <c r="C309" s="14" t="inlineStr">
        <is>
          <t>12MBE41CP121</t>
        </is>
      </c>
      <c r="D309" s="14" t="inlineStr">
        <is>
          <t>GT H/F WATER PUMP-1 SUCTION PT</t>
        </is>
      </c>
      <c r="E309" s="84" t="n"/>
      <c r="F309" s="75" t="n">
        <v>-14.7</v>
      </c>
      <c r="G309" s="75" t="n">
        <v>800</v>
      </c>
      <c r="H309" s="40" t="n">
        <v>-14.7</v>
      </c>
      <c r="I309" s="40" t="n">
        <v>150</v>
      </c>
      <c r="J309" s="4" t="inlineStr">
        <is>
          <t>psi</t>
        </is>
      </c>
      <c r="K309" s="19" t="inlineStr">
        <is>
          <t>ROSEMOUNT</t>
        </is>
      </c>
      <c r="L309" s="19" t="inlineStr">
        <is>
          <t>2051TG</t>
        </is>
      </c>
      <c r="M309" s="20" t="n">
        <v>210447</v>
      </c>
      <c r="N309" s="2">
        <f>IF(E309="","Waiting","Calibrated")</f>
        <v/>
      </c>
      <c r="O309" s="2" t="n"/>
      <c r="P309" s="2" t="n"/>
      <c r="Q309" s="2" t="n"/>
      <c r="R309" s="28" t="n"/>
      <c r="S309" s="28" t="n"/>
      <c r="T309" s="29" t="n"/>
    </row>
    <row r="310" ht="35.1" customFormat="1" customHeight="1" s="5">
      <c r="A310" s="17" t="n">
        <v>308</v>
      </c>
      <c r="B310" s="17" t="inlineStr">
        <is>
          <t>KIPP12</t>
        </is>
      </c>
      <c r="C310" s="14" t="inlineStr">
        <is>
          <t>12MBE41CP122</t>
        </is>
      </c>
      <c r="D310" s="14" t="inlineStr">
        <is>
          <t>GT H/F WATER PUMP-2 SUCTION PT</t>
        </is>
      </c>
      <c r="E310" s="84" t="n"/>
      <c r="F310" s="75" t="n">
        <v>-14.7</v>
      </c>
      <c r="G310" s="75" t="n">
        <v>4000</v>
      </c>
      <c r="H310" s="40" t="n">
        <v>-14.7</v>
      </c>
      <c r="I310" s="40" t="n">
        <v>150</v>
      </c>
      <c r="J310" s="4" t="inlineStr">
        <is>
          <t>psi</t>
        </is>
      </c>
      <c r="K310" s="19" t="inlineStr">
        <is>
          <t>ROSEMOUNT</t>
        </is>
      </c>
      <c r="L310" s="19" t="inlineStr">
        <is>
          <t>2051TG</t>
        </is>
      </c>
      <c r="M310" s="20" t="n">
        <v>210453</v>
      </c>
      <c r="N310" s="2">
        <f>IF(E310="","Waiting","Calibrated")</f>
        <v/>
      </c>
      <c r="O310" s="2" t="n"/>
      <c r="P310" s="2" t="n"/>
      <c r="Q310" s="2" t="n"/>
      <c r="R310" s="28" t="n"/>
      <c r="S310" s="28" t="n"/>
      <c r="T310" s="29" t="n"/>
    </row>
    <row r="311" ht="35.1" customFormat="1" customHeight="1" s="5">
      <c r="A311" s="17" t="n">
        <v>309</v>
      </c>
      <c r="B311" s="17" t="inlineStr">
        <is>
          <t>KIPP12</t>
        </is>
      </c>
      <c r="C311" s="14" t="inlineStr">
        <is>
          <t>12MBE41CP123</t>
        </is>
      </c>
      <c r="D311" s="14" t="inlineStr">
        <is>
          <t>GT H/F WATER PUMP-3 SUCTION PT</t>
        </is>
      </c>
      <c r="E311" s="84" t="n"/>
      <c r="F311" s="75" t="n">
        <v>-14.7</v>
      </c>
      <c r="G311" s="75" t="n">
        <v>800</v>
      </c>
      <c r="H311" s="40" t="n">
        <v>-14.7</v>
      </c>
      <c r="I311" s="40" t="n">
        <v>150</v>
      </c>
      <c r="J311" s="4" t="inlineStr">
        <is>
          <t>psi</t>
        </is>
      </c>
      <c r="K311" s="19" t="inlineStr">
        <is>
          <t>ROSEMOUNT</t>
        </is>
      </c>
      <c r="L311" s="19" t="inlineStr">
        <is>
          <t>2051TG</t>
        </is>
      </c>
      <c r="M311" s="20" t="n">
        <v>10195290</v>
      </c>
      <c r="N311" s="2">
        <f>IF(E311="","Waiting","Calibrated")</f>
        <v/>
      </c>
      <c r="O311" s="2" t="n"/>
      <c r="P311" s="2" t="n"/>
      <c r="Q311" s="2" t="n"/>
      <c r="R311" s="28" t="n"/>
      <c r="S311" s="28" t="n"/>
      <c r="T311" s="29" t="n"/>
    </row>
    <row r="312" ht="35.1" customFormat="1" customHeight="1" s="5">
      <c r="A312" s="17" t="n">
        <v>310</v>
      </c>
      <c r="B312" s="17" t="inlineStr">
        <is>
          <t>KIPP12</t>
        </is>
      </c>
      <c r="C312" s="14" t="inlineStr">
        <is>
          <t>12MBE41CP124</t>
        </is>
      </c>
      <c r="D312" s="14" t="inlineStr">
        <is>
          <t>GT H/F WATER PUMP-4 SUCTION PT</t>
        </is>
      </c>
      <c r="E312" s="84" t="n"/>
      <c r="F312" s="75" t="n">
        <v>-14.7</v>
      </c>
      <c r="G312" s="75" t="n">
        <v>4000</v>
      </c>
      <c r="H312" s="40" t="n">
        <v>-14.7</v>
      </c>
      <c r="I312" s="40" t="n">
        <v>150</v>
      </c>
      <c r="J312" s="4" t="inlineStr">
        <is>
          <t>psi</t>
        </is>
      </c>
      <c r="K312" s="19" t="inlineStr">
        <is>
          <t>ROSEMOUNT</t>
        </is>
      </c>
      <c r="L312" s="19" t="inlineStr">
        <is>
          <t>2051TG</t>
        </is>
      </c>
      <c r="M312" s="20" t="n">
        <v>10195289</v>
      </c>
      <c r="N312" s="2">
        <f>IF(E312="","Waiting","Calibrated")</f>
        <v/>
      </c>
      <c r="O312" s="2" t="n"/>
      <c r="P312" s="2" t="n"/>
      <c r="Q312" s="2" t="n"/>
      <c r="R312" s="28" t="n"/>
      <c r="S312" s="28" t="n"/>
      <c r="T312" s="29" t="n"/>
    </row>
    <row r="313" ht="35.1" customFormat="1" customHeight="1" s="5">
      <c r="A313" s="17" t="n">
        <v>311</v>
      </c>
      <c r="B313" s="17" t="inlineStr">
        <is>
          <t>KIPP12</t>
        </is>
      </c>
      <c r="C313" s="14" t="inlineStr">
        <is>
          <t>12MBE41CP141</t>
        </is>
      </c>
      <c r="D313" s="14" t="inlineStr">
        <is>
          <t>GT H/F WATER PUMP-1 DISCHARGE PT</t>
        </is>
      </c>
      <c r="E313" s="84" t="n"/>
      <c r="F313" s="75" t="n">
        <v>0</v>
      </c>
      <c r="G313" s="75" t="n">
        <v>4000</v>
      </c>
      <c r="H313" s="40" t="n">
        <v>-14.7</v>
      </c>
      <c r="I313" s="40" t="n">
        <v>4000</v>
      </c>
      <c r="J313" s="4" t="inlineStr">
        <is>
          <t>psi</t>
        </is>
      </c>
      <c r="K313" s="19" t="inlineStr">
        <is>
          <t>ROSEMOUNT</t>
        </is>
      </c>
      <c r="L313" s="19" t="inlineStr">
        <is>
          <t>2088TG</t>
        </is>
      </c>
      <c r="M313" s="20" t="n">
        <v>631491</v>
      </c>
      <c r="N313" s="2">
        <f>IF(E313="","Waiting","Calibrated")</f>
        <v/>
      </c>
      <c r="O313" s="2" t="n"/>
      <c r="P313" s="2" t="n"/>
      <c r="Q313" s="2" t="n"/>
      <c r="R313" s="28" t="n"/>
      <c r="S313" s="28" t="n"/>
      <c r="T313" s="29" t="n"/>
    </row>
    <row r="314" ht="35.1" customFormat="1" customHeight="1" s="5">
      <c r="A314" s="17" t="n">
        <v>312</v>
      </c>
      <c r="B314" s="17" t="inlineStr">
        <is>
          <t>KIPP12</t>
        </is>
      </c>
      <c r="C314" s="14" t="inlineStr">
        <is>
          <t>12MBE41CP142</t>
        </is>
      </c>
      <c r="D314" s="14" t="inlineStr">
        <is>
          <t>GT H/F WATER PUMP-2 DISCHARGE PT</t>
        </is>
      </c>
      <c r="E314" s="84" t="n"/>
      <c r="F314" s="75" t="n">
        <v>-14.7</v>
      </c>
      <c r="G314" s="75" t="n">
        <v>4000</v>
      </c>
      <c r="H314" s="40" t="n">
        <v>-14.7</v>
      </c>
      <c r="I314" s="40" t="n">
        <v>4000</v>
      </c>
      <c r="J314" s="4" t="inlineStr">
        <is>
          <t>psi</t>
        </is>
      </c>
      <c r="K314" s="19" t="inlineStr">
        <is>
          <t>ROSEMOUNT</t>
        </is>
      </c>
      <c r="L314" s="19" t="inlineStr">
        <is>
          <t>2088TG</t>
        </is>
      </c>
      <c r="M314" s="20" t="n">
        <v>631489</v>
      </c>
      <c r="N314" s="2">
        <f>IF(E314="","Waiting","Calibrated")</f>
        <v/>
      </c>
      <c r="O314" s="2" t="n"/>
      <c r="P314" s="2" t="n"/>
      <c r="Q314" s="2" t="n"/>
      <c r="R314" s="28" t="n"/>
      <c r="S314" s="28" t="n"/>
      <c r="T314" s="29" t="n"/>
    </row>
    <row r="315" ht="35.1" customFormat="1" customHeight="1" s="5">
      <c r="A315" s="17" t="n">
        <v>313</v>
      </c>
      <c r="B315" s="17" t="inlineStr">
        <is>
          <t>KIPP12</t>
        </is>
      </c>
      <c r="C315" s="14" t="inlineStr">
        <is>
          <t>12MBE41CP143</t>
        </is>
      </c>
      <c r="D315" s="14" t="inlineStr">
        <is>
          <t>GT H/F WATER PUMP-3 DISCHARGE PT</t>
        </is>
      </c>
      <c r="E315" s="84" t="n"/>
      <c r="F315" s="75" t="n">
        <v>0</v>
      </c>
      <c r="G315" s="75" t="n">
        <v>4000</v>
      </c>
      <c r="H315" s="40" t="n">
        <v>-14.7</v>
      </c>
      <c r="I315" s="40" t="n">
        <v>4000</v>
      </c>
      <c r="J315" s="4" t="inlineStr">
        <is>
          <t>psi</t>
        </is>
      </c>
      <c r="K315" s="19" t="inlineStr">
        <is>
          <t>ROSEMOUNT</t>
        </is>
      </c>
      <c r="L315" s="19" t="inlineStr">
        <is>
          <t>2088TG</t>
        </is>
      </c>
      <c r="M315" s="20" t="n">
        <v>631490</v>
      </c>
      <c r="N315" s="2">
        <f>IF(E315="","Waiting","Calibrated")</f>
        <v/>
      </c>
      <c r="O315" s="2" t="n"/>
      <c r="P315" s="2" t="n"/>
      <c r="Q315" s="2" t="n"/>
      <c r="R315" s="28" t="n"/>
      <c r="S315" s="28" t="n"/>
      <c r="T315" s="29" t="n"/>
    </row>
    <row r="316" ht="35.1" customFormat="1" customHeight="1" s="5">
      <c r="A316" s="17" t="n">
        <v>314</v>
      </c>
      <c r="B316" s="17" t="inlineStr">
        <is>
          <t>KIPP12</t>
        </is>
      </c>
      <c r="C316" s="14" t="inlineStr">
        <is>
          <t>12MBE41CP144</t>
        </is>
      </c>
      <c r="D316" s="14" t="inlineStr">
        <is>
          <t>GT H/F WATER PUMP-4 DISCHARGE PT</t>
        </is>
      </c>
      <c r="E316" s="84" t="n"/>
      <c r="F316" s="75" t="n">
        <v>0</v>
      </c>
      <c r="G316" s="75" t="n">
        <v>4000</v>
      </c>
      <c r="H316" s="40" t="n">
        <v>-14.7</v>
      </c>
      <c r="I316" s="40" t="n">
        <v>4000</v>
      </c>
      <c r="J316" s="4" t="inlineStr">
        <is>
          <t>psi</t>
        </is>
      </c>
      <c r="K316" s="19" t="inlineStr">
        <is>
          <t>ROSEMOUNT</t>
        </is>
      </c>
      <c r="L316" s="19" t="inlineStr">
        <is>
          <t>2088TG</t>
        </is>
      </c>
      <c r="M316" s="20" t="n">
        <v>631487</v>
      </c>
      <c r="N316" s="2">
        <f>IF(E316="","Waiting","Calibrated")</f>
        <v/>
      </c>
      <c r="O316" s="2" t="n"/>
      <c r="P316" s="2" t="n"/>
      <c r="Q316" s="2" t="n"/>
      <c r="R316" s="28" t="n"/>
      <c r="S316" s="28" t="n"/>
      <c r="T316" s="29" t="n"/>
    </row>
    <row r="317" ht="35.1" customFormat="1" customHeight="1" s="5">
      <c r="A317" s="17" t="n">
        <v>315</v>
      </c>
      <c r="B317" s="17" t="inlineStr">
        <is>
          <t>KIPP12</t>
        </is>
      </c>
      <c r="C317" s="14" t="inlineStr">
        <is>
          <t>12MBH20CP007</t>
        </is>
      </c>
      <c r="D317" s="14" t="inlineStr">
        <is>
          <t>GT COOLING AIR CARR PT</t>
        </is>
      </c>
      <c r="E317" s="84" t="n"/>
      <c r="F317" s="75" t="n">
        <v>-137.89</v>
      </c>
      <c r="G317" s="75" t="n">
        <v>137.89</v>
      </c>
      <c r="H317" s="39" t="n">
        <v>0</v>
      </c>
      <c r="I317" s="39" t="n">
        <v>15</v>
      </c>
      <c r="J317" s="4" t="inlineStr">
        <is>
          <t>Bar</t>
        </is>
      </c>
      <c r="K317" s="19" t="inlineStr">
        <is>
          <t>ROSEMOUNT</t>
        </is>
      </c>
      <c r="L317" s="20" t="n">
        <v>3051</v>
      </c>
      <c r="M317" s="20" t="n">
        <v>9825271</v>
      </c>
      <c r="N317" s="2">
        <f>IF(E317="","Waiting","Calibrated")</f>
        <v/>
      </c>
      <c r="O317" s="2" t="n"/>
      <c r="P317" s="2" t="n"/>
      <c r="Q317" s="2" t="n"/>
      <c r="R317" s="28" t="inlineStr">
        <is>
          <t>3051CG5A22A1BE8Q4CTA9258</t>
        </is>
      </c>
      <c r="S317" s="28" t="n"/>
      <c r="T317" s="29" t="n"/>
    </row>
    <row r="318" ht="35.1" customFormat="1" customHeight="1" s="5">
      <c r="A318" s="17" t="n">
        <v>316</v>
      </c>
      <c r="B318" s="17" t="inlineStr">
        <is>
          <t>KIPP12</t>
        </is>
      </c>
      <c r="C318" s="14" t="inlineStr">
        <is>
          <t>12MBH20CP008</t>
        </is>
      </c>
      <c r="D318" s="14" t="inlineStr">
        <is>
          <t>GT COOLING AIR CARR PT</t>
        </is>
      </c>
      <c r="E318" s="84" t="n"/>
      <c r="F318" s="75" t="n">
        <v>-137.89</v>
      </c>
      <c r="G318" s="75" t="n">
        <v>137.89</v>
      </c>
      <c r="H318" s="39" t="n">
        <v>0</v>
      </c>
      <c r="I318" s="39" t="n">
        <v>15</v>
      </c>
      <c r="J318" s="4" t="inlineStr">
        <is>
          <t>Bar</t>
        </is>
      </c>
      <c r="K318" s="19" t="inlineStr">
        <is>
          <t>ROSEMOUNT</t>
        </is>
      </c>
      <c r="L318" s="20" t="n">
        <v>3051</v>
      </c>
      <c r="M318" s="20" t="n">
        <v>9825272</v>
      </c>
      <c r="N318" s="2">
        <f>IF(E318="","Waiting","Calibrated")</f>
        <v/>
      </c>
      <c r="O318" s="2" t="n"/>
      <c r="P318" s="2" t="n"/>
      <c r="Q318" s="2" t="n"/>
      <c r="R318" s="28" t="inlineStr">
        <is>
          <t>3051CG5A22A1BE8Q4CTA9258</t>
        </is>
      </c>
      <c r="S318" s="28" t="n"/>
      <c r="T318" s="29" t="n"/>
    </row>
    <row r="319" ht="35.1" customFormat="1" customHeight="1" s="5">
      <c r="A319" s="17" t="n">
        <v>317</v>
      </c>
      <c r="B319" s="17" t="inlineStr">
        <is>
          <t>KIPP12</t>
        </is>
      </c>
      <c r="C319" s="14" t="inlineStr">
        <is>
          <t>12MBH20CP009</t>
        </is>
      </c>
      <c r="D319" s="14" t="inlineStr">
        <is>
          <t>GT COOLING AIR CARR PT</t>
        </is>
      </c>
      <c r="E319" s="84" t="n"/>
      <c r="F319" s="75" t="n">
        <v>-137.89</v>
      </c>
      <c r="G319" s="75" t="n">
        <v>137.89</v>
      </c>
      <c r="H319" s="39" t="n">
        <v>0</v>
      </c>
      <c r="I319" s="39" t="n">
        <v>15</v>
      </c>
      <c r="J319" s="4" t="inlineStr">
        <is>
          <t>Bar</t>
        </is>
      </c>
      <c r="K319" s="19" t="inlineStr">
        <is>
          <t>ROSEMOUNT</t>
        </is>
      </c>
      <c r="L319" s="20" t="n">
        <v>3051</v>
      </c>
      <c r="M319" s="20" t="n">
        <v>9825273</v>
      </c>
      <c r="N319" s="2">
        <f>IF(E319="","Waiting","Calibrated")</f>
        <v/>
      </c>
      <c r="O319" s="2" t="n"/>
      <c r="P319" s="2" t="n"/>
      <c r="Q319" s="2" t="n"/>
      <c r="R319" s="28" t="inlineStr">
        <is>
          <t>3051CG5A22A1BE8Q4CTA9258</t>
        </is>
      </c>
      <c r="S319" s="28" t="n"/>
      <c r="T319" s="29" t="n"/>
    </row>
    <row r="320" ht="35.1" customFormat="1" customHeight="1" s="5">
      <c r="A320" s="17" t="n">
        <v>318</v>
      </c>
      <c r="B320" s="17" t="inlineStr">
        <is>
          <t>KIPP12</t>
        </is>
      </c>
      <c r="C320" s="14" t="inlineStr">
        <is>
          <t>12MBH30CL001</t>
        </is>
      </c>
      <c r="D320" s="14" t="inlineStr">
        <is>
          <t>LP OTC DIFFRENTIAL LEVEL TRANSMITTER</t>
        </is>
      </c>
      <c r="E320" s="84" t="n"/>
      <c r="F320" s="75" t="n">
        <v>-5</v>
      </c>
      <c r="G320" s="75" t="n">
        <v>5</v>
      </c>
      <c r="H320" s="40" t="n">
        <v>0</v>
      </c>
      <c r="I320" s="40" t="n">
        <v>-2</v>
      </c>
      <c r="J320" s="4" t="inlineStr">
        <is>
          <t>Bar</t>
        </is>
      </c>
      <c r="K320" s="19" t="inlineStr">
        <is>
          <t>YOKOGAWA</t>
        </is>
      </c>
      <c r="L320" s="19" t="inlineStr">
        <is>
          <t>EJA110E</t>
        </is>
      </c>
      <c r="M320" s="19" t="inlineStr">
        <is>
          <t>91S313553</t>
        </is>
      </c>
      <c r="N320" s="2">
        <f>IF(E320="","Waiting","Calibrated")</f>
        <v/>
      </c>
      <c r="O320" s="2" t="n"/>
      <c r="P320" s="2" t="n"/>
      <c r="Q320" s="2" t="n"/>
      <c r="R320" s="28" t="n"/>
      <c r="S320" s="28" t="n"/>
      <c r="T320" s="29" t="n"/>
    </row>
    <row r="321" ht="35.1" customFormat="1" customHeight="1" s="5">
      <c r="A321" s="17" t="n">
        <v>319</v>
      </c>
      <c r="B321" s="17" t="inlineStr">
        <is>
          <t>KIPP12</t>
        </is>
      </c>
      <c r="C321" s="14" t="inlineStr">
        <is>
          <t>12MBH30CL002</t>
        </is>
      </c>
      <c r="D321" s="14" t="inlineStr">
        <is>
          <t>LP OTC DIFFRENTIAL LEVEL TRANSMITTER</t>
        </is>
      </c>
      <c r="E321" s="84" t="n"/>
      <c r="F321" s="75" t="n">
        <v>-5</v>
      </c>
      <c r="G321" s="75" t="n">
        <v>5</v>
      </c>
      <c r="H321" s="40" t="n">
        <v>0</v>
      </c>
      <c r="I321" s="40" t="n">
        <v>-2</v>
      </c>
      <c r="J321" s="4" t="inlineStr">
        <is>
          <t>Bar</t>
        </is>
      </c>
      <c r="K321" s="19" t="inlineStr">
        <is>
          <t>YOKOGAWA</t>
        </is>
      </c>
      <c r="L321" s="19" t="inlineStr">
        <is>
          <t>EJA110E</t>
        </is>
      </c>
      <c r="M321" s="19" t="inlineStr">
        <is>
          <t>91S313554</t>
        </is>
      </c>
      <c r="N321" s="2">
        <f>IF(E321="","Waiting","Calibrated")</f>
        <v/>
      </c>
      <c r="O321" s="2" t="n"/>
      <c r="P321" s="2" t="n"/>
      <c r="Q321" s="2" t="n"/>
      <c r="R321" s="28" t="n"/>
      <c r="S321" s="28" t="n"/>
      <c r="T321" s="29" t="n"/>
    </row>
    <row r="322" ht="35.1" customFormat="1" customHeight="1" s="5">
      <c r="A322" s="17" t="n">
        <v>320</v>
      </c>
      <c r="B322" s="17" t="inlineStr">
        <is>
          <t>KIPP12</t>
        </is>
      </c>
      <c r="C322" s="14" t="inlineStr">
        <is>
          <t>12MBH30CP003</t>
        </is>
      </c>
      <c r="D322" s="14" t="inlineStr">
        <is>
          <t>P SEV COMBUSTOR PLENUM/KA01</t>
        </is>
      </c>
      <c r="E322" s="84" t="n"/>
      <c r="F322" s="75" t="n">
        <v>-137.89</v>
      </c>
      <c r="G322" s="75" t="n">
        <v>137.89</v>
      </c>
      <c r="H322" s="40" t="n">
        <v>0</v>
      </c>
      <c r="I322" s="40" t="n">
        <v>25</v>
      </c>
      <c r="J322" s="4" t="inlineStr">
        <is>
          <t>Bar</t>
        </is>
      </c>
      <c r="K322" s="19" t="inlineStr">
        <is>
          <t>YOKOGAWA</t>
        </is>
      </c>
      <c r="L322" s="20" t="n">
        <v>3051</v>
      </c>
      <c r="M322" s="19" t="n">
        <v>9825268</v>
      </c>
      <c r="N322" s="2">
        <f>IF(E322="","Waiting","Calibrated")</f>
        <v/>
      </c>
      <c r="O322" s="2" t="n"/>
      <c r="P322" s="2" t="n"/>
      <c r="Q322" s="2" t="n"/>
      <c r="R322" s="28" t="inlineStr">
        <is>
          <t>3051CG5A22A1BE8Q4CTA9258</t>
        </is>
      </c>
      <c r="S322" s="28" t="n"/>
      <c r="T322" s="29" t="n"/>
    </row>
    <row r="323" ht="35.1" customFormat="1" customHeight="1" s="5">
      <c r="A323" s="17" t="n">
        <v>321</v>
      </c>
      <c r="B323" s="17" t="inlineStr">
        <is>
          <t>KIPP12</t>
        </is>
      </c>
      <c r="C323" s="14" t="inlineStr">
        <is>
          <t>12MBH30CP004</t>
        </is>
      </c>
      <c r="D323" s="14" t="inlineStr">
        <is>
          <t>P SEV COMBUSTOR PLENUM/KA01</t>
        </is>
      </c>
      <c r="E323" s="84" t="n"/>
      <c r="F323" s="75" t="n">
        <v>137.89</v>
      </c>
      <c r="G323" s="75" t="n">
        <v>137.89</v>
      </c>
      <c r="H323" s="40" t="n">
        <v>0</v>
      </c>
      <c r="I323" s="40" t="n">
        <v>25</v>
      </c>
      <c r="J323" s="4" t="inlineStr">
        <is>
          <t>Bar</t>
        </is>
      </c>
      <c r="K323" s="19" t="inlineStr">
        <is>
          <t>ROSEMOUNT</t>
        </is>
      </c>
      <c r="L323" s="20" t="n">
        <v>3051</v>
      </c>
      <c r="M323" s="19" t="n">
        <v>9825269</v>
      </c>
      <c r="N323" s="2">
        <f>IF(E323="","Waiting","Calibrated")</f>
        <v/>
      </c>
      <c r="O323" s="2" t="n"/>
      <c r="P323" s="2" t="n"/>
      <c r="Q323" s="2" t="n"/>
      <c r="R323" s="28" t="inlineStr">
        <is>
          <t>3051CG5A22A1BE8Q4CTA9258</t>
        </is>
      </c>
      <c r="S323" s="28" t="n"/>
      <c r="T323" s="29" t="n"/>
    </row>
    <row r="324" ht="35.1" customFormat="1" customHeight="1" s="5">
      <c r="A324" s="17" t="n">
        <v>322</v>
      </c>
      <c r="B324" s="17" t="inlineStr">
        <is>
          <t>KIPP12</t>
        </is>
      </c>
      <c r="C324" s="14" t="inlineStr">
        <is>
          <t>12MBH30CP005</t>
        </is>
      </c>
      <c r="D324" s="14" t="inlineStr">
        <is>
          <t>P SEV COMBUSTOR PLENUM/KA01</t>
        </is>
      </c>
      <c r="E324" s="84" t="n"/>
      <c r="F324" s="75" t="n">
        <v>137.89</v>
      </c>
      <c r="G324" s="75" t="n">
        <v>137.89</v>
      </c>
      <c r="H324" s="40" t="n">
        <v>0</v>
      </c>
      <c r="I324" s="40" t="n">
        <v>25</v>
      </c>
      <c r="J324" s="4" t="inlineStr">
        <is>
          <t>Bar</t>
        </is>
      </c>
      <c r="K324" s="19" t="inlineStr">
        <is>
          <t>ROSEMOUNT</t>
        </is>
      </c>
      <c r="L324" s="20" t="n">
        <v>3051</v>
      </c>
      <c r="M324" s="19" t="n">
        <v>9825270</v>
      </c>
      <c r="N324" s="2">
        <f>IF(E324="","Waiting","Calibrated")</f>
        <v/>
      </c>
      <c r="O324" s="2" t="n"/>
      <c r="P324" s="2" t="n"/>
      <c r="Q324" s="2" t="n"/>
      <c r="R324" s="28" t="inlineStr">
        <is>
          <t>3051CG5A22A1BE8Q4CTA9258</t>
        </is>
      </c>
      <c r="S324" s="28" t="n"/>
      <c r="T324" s="29" t="n"/>
    </row>
    <row r="325" ht="35.1" customFormat="1" customHeight="1" s="5">
      <c r="A325" s="17" t="n">
        <v>323</v>
      </c>
      <c r="B325" s="17" t="inlineStr">
        <is>
          <t>KIPP12</t>
        </is>
      </c>
      <c r="C325" s="14" t="inlineStr">
        <is>
          <t>12MBH30CP015</t>
        </is>
      </c>
      <c r="D325" s="14" t="inlineStr">
        <is>
          <t>PRESSURE DIFF ACROSS LP AIR COOLER</t>
        </is>
      </c>
      <c r="E325" s="84" t="n"/>
      <c r="F325" s="75" t="n">
        <v>-20.684</v>
      </c>
      <c r="G325" s="75" t="n">
        <v>20.684</v>
      </c>
      <c r="H325" s="40" t="n">
        <v>0</v>
      </c>
      <c r="I325" s="40" t="n">
        <v>4</v>
      </c>
      <c r="J325" s="4" t="inlineStr">
        <is>
          <t>Bar</t>
        </is>
      </c>
      <c r="K325" s="19" t="inlineStr">
        <is>
          <t>ROSEMOUNT</t>
        </is>
      </c>
      <c r="L325" s="20" t="n">
        <v>3051</v>
      </c>
      <c r="M325" s="19" t="n">
        <v>9824812</v>
      </c>
      <c r="N325" s="2">
        <f>IF(E325="","Waiting","Calibrated")</f>
        <v/>
      </c>
      <c r="O325" s="2" t="n"/>
      <c r="P325" s="2" t="n"/>
      <c r="Q325" s="2" t="n"/>
      <c r="R325" s="28" t="n"/>
      <c r="S325" s="28" t="n"/>
      <c r="T325" s="29" t="n"/>
    </row>
    <row r="326" ht="35.1" customFormat="1" customHeight="1" s="5">
      <c r="A326" s="17" t="n">
        <v>324</v>
      </c>
      <c r="B326" s="17" t="inlineStr">
        <is>
          <t>KIPP12</t>
        </is>
      </c>
      <c r="C326" s="14" t="inlineStr">
        <is>
          <t>12MBH30CP020</t>
        </is>
      </c>
      <c r="D326" s="14" t="inlineStr">
        <is>
          <t>P QUENSCH WATER TO LP COOLER</t>
        </is>
      </c>
      <c r="E326" s="84" t="n"/>
      <c r="F326" s="75" t="n">
        <v>137.89</v>
      </c>
      <c r="G326" s="75" t="n">
        <v>137.89</v>
      </c>
      <c r="H326" s="40" t="n">
        <v>0</v>
      </c>
      <c r="I326" s="40" t="n">
        <v>30</v>
      </c>
      <c r="J326" s="4" t="inlineStr">
        <is>
          <t>Bar</t>
        </is>
      </c>
      <c r="K326" s="19" t="inlineStr">
        <is>
          <t>ROSEMOUNT</t>
        </is>
      </c>
      <c r="L326" s="20" t="n">
        <v>3051</v>
      </c>
      <c r="M326" s="19" t="n">
        <v>9825289</v>
      </c>
      <c r="N326" s="2">
        <f>IF(E326="","Waiting","Calibrated")</f>
        <v/>
      </c>
      <c r="O326" s="2" t="n"/>
      <c r="P326" s="2" t="n"/>
      <c r="Q326" s="2" t="n"/>
      <c r="R326" s="28" t="n"/>
      <c r="S326" s="28" t="n"/>
      <c r="T326" s="29" t="n"/>
    </row>
    <row r="327" ht="35.1" customFormat="1" customHeight="1" s="5">
      <c r="A327" s="17" t="n">
        <v>325</v>
      </c>
      <c r="B327" s="17" t="inlineStr">
        <is>
          <t>KIPP12</t>
        </is>
      </c>
      <c r="C327" s="14" t="inlineStr">
        <is>
          <t>12MBH30CP021</t>
        </is>
      </c>
      <c r="D327" s="14" t="inlineStr">
        <is>
          <t>DP SEV COMBUSTOR LINER</t>
        </is>
      </c>
      <c r="E327" s="84" t="n"/>
      <c r="F327" s="75" t="n">
        <v>-20.684</v>
      </c>
      <c r="G327" s="75" t="n">
        <v>20.684</v>
      </c>
      <c r="H327" s="39" t="n">
        <v>0</v>
      </c>
      <c r="I327" s="39" t="n">
        <v>5</v>
      </c>
      <c r="J327" s="4" t="inlineStr">
        <is>
          <t>Bar</t>
        </is>
      </c>
      <c r="K327" s="19" t="inlineStr">
        <is>
          <t>ROSEMOUNT</t>
        </is>
      </c>
      <c r="L327" s="20" t="n">
        <v>3051</v>
      </c>
      <c r="M327" s="20" t="n">
        <v>9825279</v>
      </c>
      <c r="N327" s="2">
        <f>IF(E327="","Waiting","Calibrated")</f>
        <v/>
      </c>
      <c r="O327" s="2" t="n"/>
      <c r="P327" s="2" t="n"/>
      <c r="Q327" s="2" t="n"/>
      <c r="R327" s="28" t="inlineStr">
        <is>
          <t>3051CD4A22A1BE8Q4CTA9258</t>
        </is>
      </c>
      <c r="S327" s="28" t="n"/>
      <c r="T327" s="29" t="n"/>
    </row>
    <row r="328" ht="35.1" customFormat="1" customHeight="1" s="5">
      <c r="A328" s="17" t="n">
        <v>326</v>
      </c>
      <c r="B328" s="17" t="inlineStr">
        <is>
          <t>KIPP12</t>
        </is>
      </c>
      <c r="C328" s="14" t="inlineStr">
        <is>
          <t>12MBH30CP022</t>
        </is>
      </c>
      <c r="D328" s="14" t="inlineStr">
        <is>
          <t>P DIFF SEV COMBUSTOR LINER/KA01</t>
        </is>
      </c>
      <c r="E328" s="84" t="n"/>
      <c r="F328" s="75" t="n">
        <v>-20.684</v>
      </c>
      <c r="G328" s="75" t="n">
        <v>20.684</v>
      </c>
      <c r="H328" s="40" t="n">
        <v>0</v>
      </c>
      <c r="I328" s="40" t="n">
        <v>5</v>
      </c>
      <c r="J328" s="4" t="inlineStr">
        <is>
          <t>Bar</t>
        </is>
      </c>
      <c r="K328" s="19" t="inlineStr">
        <is>
          <t>ROSEMOUNT</t>
        </is>
      </c>
      <c r="L328" s="20" t="n">
        <v>3051</v>
      </c>
      <c r="M328" s="20" t="n">
        <v>9825277</v>
      </c>
      <c r="N328" s="2">
        <f>IF(E328="","Waiting","Calibrated")</f>
        <v/>
      </c>
      <c r="O328" s="2" t="n"/>
      <c r="P328" s="2" t="n"/>
      <c r="Q328" s="2" t="n"/>
      <c r="R328" s="28" t="inlineStr">
        <is>
          <t>3051CD4A22A1BE8Q4CTA9258</t>
        </is>
      </c>
      <c r="S328" s="28" t="n"/>
      <c r="T328" s="29" t="n"/>
    </row>
    <row r="329" ht="35.1" customFormat="1" customHeight="1" s="5">
      <c r="A329" s="17" t="n">
        <v>327</v>
      </c>
      <c r="B329" s="17" t="inlineStr">
        <is>
          <t>KIPP12</t>
        </is>
      </c>
      <c r="C329" s="14" t="inlineStr">
        <is>
          <t>12MBH30CP023</t>
        </is>
      </c>
      <c r="D329" s="14" t="inlineStr">
        <is>
          <t>P DIFF SEV COMBUSTOR LINER/KA01</t>
        </is>
      </c>
      <c r="E329" s="84" t="n"/>
      <c r="F329" s="75" t="n">
        <v>-20.684</v>
      </c>
      <c r="G329" s="75" t="n">
        <v>20.684</v>
      </c>
      <c r="H329" s="40" t="n">
        <v>0</v>
      </c>
      <c r="I329" s="40" t="n">
        <v>5</v>
      </c>
      <c r="J329" s="4" t="inlineStr">
        <is>
          <t>Bar</t>
        </is>
      </c>
      <c r="K329" s="19" t="inlineStr">
        <is>
          <t>ROSEMOUNT</t>
        </is>
      </c>
      <c r="L329" s="20" t="n">
        <v>3051</v>
      </c>
      <c r="M329" s="20" t="n">
        <v>9825278</v>
      </c>
      <c r="N329" s="2">
        <f>IF(E329="","Waiting","Calibrated")</f>
        <v/>
      </c>
      <c r="O329" s="2" t="n"/>
      <c r="P329" s="2" t="n"/>
      <c r="Q329" s="2" t="n"/>
      <c r="R329" s="28" t="inlineStr">
        <is>
          <t>3051CD4A22A1BE8Q4CTA9258</t>
        </is>
      </c>
      <c r="S329" s="28" t="n"/>
      <c r="T329" s="29" t="n"/>
    </row>
    <row r="330" ht="35.1" customFormat="1" customHeight="1" s="5">
      <c r="A330" s="17" t="n">
        <v>328</v>
      </c>
      <c r="B330" s="17" t="inlineStr">
        <is>
          <t>KIPP12</t>
        </is>
      </c>
      <c r="C330" s="14" t="inlineStr">
        <is>
          <t>12MBH40CL001</t>
        </is>
      </c>
      <c r="D330" s="14" t="inlineStr">
        <is>
          <t>HP OTC DIFFRENTIAL LEVEL TRANSMITTER</t>
        </is>
      </c>
      <c r="E330" s="84" t="n"/>
      <c r="F330" s="75" t="n">
        <v>-5</v>
      </c>
      <c r="G330" s="75" t="n">
        <v>5</v>
      </c>
      <c r="H330" s="40" t="n">
        <v>0</v>
      </c>
      <c r="I330" s="40" t="n">
        <v>-2</v>
      </c>
      <c r="J330" s="4" t="inlineStr">
        <is>
          <t>Bar</t>
        </is>
      </c>
      <c r="K330" s="19" t="inlineStr">
        <is>
          <t>YOKOGAWA</t>
        </is>
      </c>
      <c r="L330" s="19" t="inlineStr">
        <is>
          <t>EJA110E</t>
        </is>
      </c>
      <c r="M330" s="19" t="inlineStr">
        <is>
          <t>91S313551</t>
        </is>
      </c>
      <c r="N330" s="2">
        <f>IF(E330="","Waiting","Calibrated")</f>
        <v/>
      </c>
      <c r="O330" s="2" t="n"/>
      <c r="P330" s="2" t="n"/>
      <c r="Q330" s="2" t="n"/>
      <c r="R330" s="28" t="n"/>
      <c r="S330" s="28" t="n"/>
      <c r="T330" s="29" t="n"/>
    </row>
    <row r="331" ht="35.1" customFormat="1" customHeight="1" s="5">
      <c r="A331" s="17" t="n">
        <v>329</v>
      </c>
      <c r="B331" s="17" t="inlineStr">
        <is>
          <t>KIPP12</t>
        </is>
      </c>
      <c r="C331" s="14" t="inlineStr">
        <is>
          <t>12MBH40CL002</t>
        </is>
      </c>
      <c r="D331" s="14" t="inlineStr">
        <is>
          <t>HP OTC DIFFRENTIAL LEVEL TRANSMITTER</t>
        </is>
      </c>
      <c r="E331" s="84" t="n"/>
      <c r="F331" s="75" t="n">
        <v>-5</v>
      </c>
      <c r="G331" s="75" t="n">
        <v>5</v>
      </c>
      <c r="H331" s="40" t="n">
        <v>0</v>
      </c>
      <c r="I331" s="40" t="n">
        <v>-2</v>
      </c>
      <c r="J331" s="4" t="inlineStr">
        <is>
          <t>Bar</t>
        </is>
      </c>
      <c r="K331" s="19" t="inlineStr">
        <is>
          <t>YOKOGAWA</t>
        </is>
      </c>
      <c r="L331" s="19" t="inlineStr">
        <is>
          <t>EJA110E</t>
        </is>
      </c>
      <c r="M331" s="19" t="inlineStr">
        <is>
          <t>91S313552</t>
        </is>
      </c>
      <c r="N331" s="2">
        <f>IF(E331="","Waiting","Calibrated")</f>
        <v/>
      </c>
      <c r="O331" s="2" t="n"/>
      <c r="P331" s="2" t="n"/>
      <c r="Q331" s="2" t="n"/>
      <c r="R331" s="28" t="n"/>
      <c r="S331" s="28" t="n"/>
      <c r="T331" s="29" t="n"/>
    </row>
    <row r="332" ht="35.1" customFormat="1" customHeight="1" s="5">
      <c r="A332" s="17" t="n">
        <v>330</v>
      </c>
      <c r="B332" s="17" t="inlineStr">
        <is>
          <t>KIPP12</t>
        </is>
      </c>
      <c r="C332" s="14" t="inlineStr">
        <is>
          <t>12MBH40CP015</t>
        </is>
      </c>
      <c r="D332" s="14" t="inlineStr">
        <is>
          <t>DP HP OTC</t>
        </is>
      </c>
      <c r="E332" s="84" t="n"/>
      <c r="F332" s="75" t="n">
        <v>-621.6</v>
      </c>
      <c r="G332" s="75" t="n">
        <v>621.6</v>
      </c>
      <c r="H332" s="40" t="n">
        <v>0</v>
      </c>
      <c r="I332" s="40" t="n">
        <v>500</v>
      </c>
      <c r="J332" s="4" t="inlineStr">
        <is>
          <t>mBar</t>
        </is>
      </c>
      <c r="K332" s="19" t="inlineStr">
        <is>
          <t>ROSEMOUNT</t>
        </is>
      </c>
      <c r="L332" s="19" t="inlineStr">
        <is>
          <t>3051 PT</t>
        </is>
      </c>
      <c r="M332" s="19" t="n">
        <v>9825291</v>
      </c>
      <c r="N332" s="2">
        <f>IF(E332="","Waiting","Calibrated")</f>
        <v/>
      </c>
      <c r="O332" s="2" t="n"/>
      <c r="P332" s="2" t="n"/>
      <c r="Q332" s="2" t="n"/>
      <c r="R332" s="28" t="n"/>
      <c r="S332" s="28" t="n"/>
      <c r="T332" s="29" t="n"/>
    </row>
    <row r="333" ht="35.1" customFormat="1" customHeight="1" s="5">
      <c r="A333" s="17" t="n">
        <v>331</v>
      </c>
      <c r="B333" s="17" t="inlineStr">
        <is>
          <t>KIPP12</t>
        </is>
      </c>
      <c r="C333" s="14" t="inlineStr">
        <is>
          <t>12MBH41CP102</t>
        </is>
      </c>
      <c r="D333" s="14" t="inlineStr">
        <is>
          <t>PRESSURE AFTER BLOW-OFF BYPASS VALVE</t>
        </is>
      </c>
      <c r="E333" s="84" t="n"/>
      <c r="F333" s="75" t="n">
        <v>-137.89</v>
      </c>
      <c r="G333" s="75" t="n">
        <v>137.89</v>
      </c>
      <c r="H333" s="40" t="n">
        <v>0</v>
      </c>
      <c r="I333" s="40" t="n">
        <v>40</v>
      </c>
      <c r="J333" s="4" t="inlineStr">
        <is>
          <t>Bar</t>
        </is>
      </c>
      <c r="K333" s="19" t="inlineStr">
        <is>
          <t>ROSEMOUNT</t>
        </is>
      </c>
      <c r="L333" s="19" t="inlineStr">
        <is>
          <t>3051CD</t>
        </is>
      </c>
      <c r="M333" s="19" t="n"/>
      <c r="N333" s="2">
        <f>IF(E333="","Waiting","Calibrated")</f>
        <v/>
      </c>
      <c r="O333" s="2" t="n"/>
      <c r="P333" s="2" t="n"/>
      <c r="Q333" s="2" t="n"/>
      <c r="R333" s="28" t="n"/>
      <c r="S333" s="28" t="n"/>
      <c r="T333" s="29" t="n"/>
    </row>
    <row r="334" ht="35.1" customFormat="1" customHeight="1" s="5">
      <c r="A334" s="17" t="n">
        <v>332</v>
      </c>
      <c r="B334" s="17" t="inlineStr">
        <is>
          <t>KIPP12</t>
        </is>
      </c>
      <c r="C334" s="14" t="inlineStr">
        <is>
          <t>12MBH41CP103</t>
        </is>
      </c>
      <c r="D334" s="14" t="inlineStr">
        <is>
          <t>DP FLOW MEASUREMENT</t>
        </is>
      </c>
      <c r="E334" s="84" t="n"/>
      <c r="F334" s="75" t="n">
        <v>-20.684</v>
      </c>
      <c r="G334" s="75" t="n">
        <v>20.684</v>
      </c>
      <c r="H334" s="40" t="n">
        <v>0</v>
      </c>
      <c r="I334" s="40" t="n">
        <v>10</v>
      </c>
      <c r="J334" s="4" t="inlineStr">
        <is>
          <t>Bar</t>
        </is>
      </c>
      <c r="K334" s="19" t="inlineStr">
        <is>
          <t>ROSEMOUNT</t>
        </is>
      </c>
      <c r="L334" s="19" t="inlineStr">
        <is>
          <t>3051CD</t>
        </is>
      </c>
      <c r="M334" s="19" t="n"/>
      <c r="N334" s="2">
        <f>IF(E334="","Waiting","Calibrated")</f>
        <v/>
      </c>
      <c r="O334" s="2" t="n"/>
      <c r="P334" s="2" t="n"/>
      <c r="Q334" s="2" t="n"/>
      <c r="R334" s="28" t="n"/>
      <c r="S334" s="28" t="n"/>
      <c r="T334" s="29" t="n"/>
    </row>
    <row r="335" ht="35.1" customFormat="1" customHeight="1" s="5">
      <c r="A335" s="17" t="n">
        <v>333</v>
      </c>
      <c r="B335" s="17" t="inlineStr">
        <is>
          <t>KIPP12</t>
        </is>
      </c>
      <c r="C335" s="14" t="inlineStr">
        <is>
          <t>12MBH52CP001</t>
        </is>
      </c>
      <c r="D335" s="14" t="inlineStr">
        <is>
          <t>EXHAUST BEARING FAN 1 PDI</t>
        </is>
      </c>
      <c r="E335" s="84" t="n"/>
      <c r="F335" s="75" t="n">
        <v>-621.6</v>
      </c>
      <c r="G335" s="75" t="n">
        <v>621.6</v>
      </c>
      <c r="H335" s="40" t="n">
        <v>0</v>
      </c>
      <c r="I335" s="40" t="n">
        <v>400</v>
      </c>
      <c r="J335" s="4" t="inlineStr">
        <is>
          <t>mBar</t>
        </is>
      </c>
      <c r="K335" s="19" t="inlineStr">
        <is>
          <t>ROSEMOUNT</t>
        </is>
      </c>
      <c r="L335" s="19" t="inlineStr">
        <is>
          <t>3051 PT</t>
        </is>
      </c>
      <c r="M335" s="19" t="n">
        <v>9891375</v>
      </c>
      <c r="N335" s="2">
        <f>IF(E335="","Waiting","Calibrated")</f>
        <v/>
      </c>
      <c r="O335" s="2" t="n"/>
      <c r="P335" s="2" t="n"/>
      <c r="Q335" s="2" t="n"/>
      <c r="R335" s="28" t="n"/>
      <c r="S335" s="28" t="n"/>
      <c r="T335" s="29" t="n"/>
    </row>
    <row r="336" ht="35.1" customFormat="1" customHeight="1" s="5">
      <c r="A336" s="17" t="n">
        <v>334</v>
      </c>
      <c r="B336" s="17" t="inlineStr">
        <is>
          <t>KIPP12</t>
        </is>
      </c>
      <c r="C336" s="14" t="inlineStr">
        <is>
          <t>12MBH52CP002</t>
        </is>
      </c>
      <c r="D336" s="14" t="inlineStr">
        <is>
          <t>EXHAUST BEARING FAN 2 PDI</t>
        </is>
      </c>
      <c r="E336" s="84" t="n"/>
      <c r="F336" s="75" t="n">
        <v>-621.6</v>
      </c>
      <c r="G336" s="75" t="n">
        <v>621.6</v>
      </c>
      <c r="H336" s="40" t="n">
        <v>0</v>
      </c>
      <c r="I336" s="40" t="n">
        <v>400</v>
      </c>
      <c r="J336" s="4" t="inlineStr">
        <is>
          <t>mBar</t>
        </is>
      </c>
      <c r="K336" s="19" t="inlineStr">
        <is>
          <t>ROSEMOUNT</t>
        </is>
      </c>
      <c r="L336" s="19" t="inlineStr">
        <is>
          <t>3051 PT</t>
        </is>
      </c>
      <c r="M336" s="20" t="n">
        <v>9891376</v>
      </c>
      <c r="N336" s="2">
        <f>IF(E336="","Waiting","Calibrated")</f>
        <v/>
      </c>
      <c r="O336" s="2" t="n"/>
      <c r="P336" s="2" t="n"/>
      <c r="Q336" s="2" t="n"/>
      <c r="R336" s="28" t="n"/>
      <c r="S336" s="28" t="n"/>
      <c r="T336" s="29" t="n"/>
    </row>
    <row r="337" ht="35.1" customFormat="1" customHeight="1" s="5">
      <c r="A337" s="17" t="n">
        <v>335</v>
      </c>
      <c r="B337" s="17" t="inlineStr">
        <is>
          <t>KIPP12</t>
        </is>
      </c>
      <c r="C337" s="14" t="inlineStr">
        <is>
          <t>12MBH60CP001</t>
        </is>
      </c>
      <c r="D337" s="14" t="inlineStr">
        <is>
          <t>DP CMAS FAN 1</t>
        </is>
      </c>
      <c r="E337" s="84" t="n"/>
      <c r="F337" s="75" t="n">
        <v>-621.6</v>
      </c>
      <c r="G337" s="75" t="n">
        <v>621.6</v>
      </c>
      <c r="H337" s="40" t="n">
        <v>0</v>
      </c>
      <c r="I337" s="40" t="n">
        <v>50</v>
      </c>
      <c r="J337" s="4" t="inlineStr">
        <is>
          <t>mBar</t>
        </is>
      </c>
      <c r="K337" s="19" t="inlineStr">
        <is>
          <t>ROSEMOUNT</t>
        </is>
      </c>
      <c r="L337" s="19" t="inlineStr">
        <is>
          <t>3051 PT</t>
        </is>
      </c>
      <c r="M337" s="19" t="n">
        <v>9891373</v>
      </c>
      <c r="N337" s="2">
        <f>IF(E337="","Waiting","Calibrated")</f>
        <v/>
      </c>
      <c r="O337" s="2" t="n"/>
      <c r="P337" s="2" t="n"/>
      <c r="Q337" s="2" t="n"/>
      <c r="R337" s="28" t="n"/>
      <c r="S337" s="28" t="n"/>
      <c r="T337" s="29" t="n"/>
    </row>
    <row r="338" ht="35.1" customFormat="1" customHeight="1" s="5">
      <c r="A338" s="17" t="n">
        <v>336</v>
      </c>
      <c r="B338" s="17" t="inlineStr">
        <is>
          <t>KIPP12</t>
        </is>
      </c>
      <c r="C338" s="14" t="inlineStr">
        <is>
          <t>12MBH60CP002</t>
        </is>
      </c>
      <c r="D338" s="14" t="inlineStr">
        <is>
          <t>DP CMAS FAN 2</t>
        </is>
      </c>
      <c r="E338" s="84" t="n"/>
      <c r="F338" s="75" t="n">
        <v>-621.6</v>
      </c>
      <c r="G338" s="75" t="n">
        <v>621.6</v>
      </c>
      <c r="H338" s="40" t="n">
        <v>0</v>
      </c>
      <c r="I338" s="40" t="n">
        <v>50</v>
      </c>
      <c r="J338" s="4" t="inlineStr">
        <is>
          <t>mBar</t>
        </is>
      </c>
      <c r="K338" s="19" t="inlineStr">
        <is>
          <t>ROSEMOUNT</t>
        </is>
      </c>
      <c r="L338" s="19" t="inlineStr">
        <is>
          <t>3051 PT</t>
        </is>
      </c>
      <c r="M338" s="20" t="n">
        <v>9891374</v>
      </c>
      <c r="N338" s="2">
        <f>IF(E338="","Waiting","Calibrated")</f>
        <v/>
      </c>
      <c r="O338" s="2" t="n"/>
      <c r="P338" s="2" t="n"/>
      <c r="Q338" s="2" t="n"/>
      <c r="R338" s="28" t="n"/>
      <c r="S338" s="28" t="n"/>
      <c r="T338" s="29" t="n"/>
    </row>
    <row r="339" ht="35.1" customFormat="1" customHeight="1" s="5">
      <c r="A339" s="17" t="n">
        <v>337</v>
      </c>
      <c r="B339" s="17" t="inlineStr">
        <is>
          <t>KIPP12</t>
        </is>
      </c>
      <c r="C339" s="14" t="inlineStr">
        <is>
          <t>12MBH80CP011</t>
        </is>
      </c>
      <c r="D339" s="14" t="inlineStr">
        <is>
          <t>DIFFERENTIAL PRESSURE EV COMBUSTOR</t>
        </is>
      </c>
      <c r="E339" s="84" t="n"/>
      <c r="F339" s="75" t="n">
        <v>-2.4864</v>
      </c>
      <c r="G339" s="75" t="n">
        <v>2.4864</v>
      </c>
      <c r="H339" s="40" t="n">
        <v>0</v>
      </c>
      <c r="I339" s="40" t="n">
        <v>2.5</v>
      </c>
      <c r="J339" s="4" t="inlineStr">
        <is>
          <t>Bar</t>
        </is>
      </c>
      <c r="K339" s="19" t="inlineStr">
        <is>
          <t>ROSEMOUNT</t>
        </is>
      </c>
      <c r="L339" s="19" t="inlineStr">
        <is>
          <t>3051 PT</t>
        </is>
      </c>
      <c r="M339" s="19" t="n">
        <v>9825282</v>
      </c>
      <c r="N339" s="2">
        <f>IF(E339="","Waiting","Calibrated")</f>
        <v/>
      </c>
      <c r="O339" s="2" t="n"/>
      <c r="P339" s="2" t="n"/>
      <c r="Q339" s="2" t="n"/>
      <c r="R339" s="28" t="n"/>
      <c r="S339" s="28" t="n"/>
      <c r="T339" s="29" t="n"/>
    </row>
    <row r="340" ht="35.1" customFormat="1" customHeight="1" s="5">
      <c r="A340" s="17" t="n">
        <v>338</v>
      </c>
      <c r="B340" s="17" t="inlineStr">
        <is>
          <t>KIPP12</t>
        </is>
      </c>
      <c r="C340" s="14" t="inlineStr">
        <is>
          <t>12MBH80CP012</t>
        </is>
      </c>
      <c r="D340" s="14" t="inlineStr">
        <is>
          <t>DIFFERENTIAL PRESSURE EV COMBUSTOR</t>
        </is>
      </c>
      <c r="E340" s="84" t="n"/>
      <c r="F340" s="75" t="n">
        <v>-2.4864</v>
      </c>
      <c r="G340" s="75" t="n">
        <v>2.4864</v>
      </c>
      <c r="H340" s="40" t="n">
        <v>0</v>
      </c>
      <c r="I340" s="40" t="n">
        <v>2.5</v>
      </c>
      <c r="J340" s="4" t="inlineStr">
        <is>
          <t>Bar</t>
        </is>
      </c>
      <c r="K340" s="19" t="inlineStr">
        <is>
          <t>ROSEMOUNT</t>
        </is>
      </c>
      <c r="L340" s="19" t="inlineStr">
        <is>
          <t>3051 PT</t>
        </is>
      </c>
      <c r="M340" s="19" t="n">
        <v>9825283</v>
      </c>
      <c r="N340" s="2">
        <f>IF(E340="","Waiting","Calibrated")</f>
        <v/>
      </c>
      <c r="O340" s="2" t="n"/>
      <c r="P340" s="2" t="n"/>
      <c r="Q340" s="2" t="n"/>
      <c r="R340" s="28" t="n"/>
      <c r="S340" s="28" t="n"/>
      <c r="T340" s="29" t="n"/>
    </row>
    <row r="341" ht="35.1" customFormat="1" customHeight="1" s="5">
      <c r="A341" s="17" t="n">
        <v>339</v>
      </c>
      <c r="B341" s="17" t="inlineStr">
        <is>
          <t>KIPP12</t>
        </is>
      </c>
      <c r="C341" s="14" t="inlineStr">
        <is>
          <t>12MBH90CP001</t>
        </is>
      </c>
      <c r="D341" s="14" t="inlineStr">
        <is>
          <t>PRESSURE BEFORE ANTI-ICING CONTROL VALVE</t>
        </is>
      </c>
      <c r="E341" s="84" t="n"/>
      <c r="F341" s="75" t="n">
        <v>-137.89</v>
      </c>
      <c r="G341" s="75" t="n">
        <v>137.89</v>
      </c>
      <c r="H341" s="40" t="n">
        <v>0</v>
      </c>
      <c r="I341" s="40" t="n">
        <v>40</v>
      </c>
      <c r="J341" s="4" t="inlineStr">
        <is>
          <t>Bar</t>
        </is>
      </c>
      <c r="K341" s="19" t="inlineStr">
        <is>
          <t>ROSEMOUNT</t>
        </is>
      </c>
      <c r="L341" s="19" t="inlineStr">
        <is>
          <t>3051 PT</t>
        </is>
      </c>
      <c r="M341" s="19" t="n">
        <v>9914215</v>
      </c>
      <c r="N341" s="2">
        <f>IF(E341="","Waiting","Calibrated")</f>
        <v/>
      </c>
      <c r="O341" s="2" t="n"/>
      <c r="P341" s="2" t="n"/>
      <c r="Q341" s="2" t="n"/>
      <c r="R341" s="28" t="n"/>
      <c r="S341" s="28" t="n"/>
      <c r="T341" s="29" t="n"/>
    </row>
    <row r="342" ht="35.1" customFormat="1" customHeight="1" s="5">
      <c r="A342" s="17" t="n">
        <v>340</v>
      </c>
      <c r="B342" s="17" t="inlineStr">
        <is>
          <t>KIPP12</t>
        </is>
      </c>
      <c r="C342" s="14" t="inlineStr">
        <is>
          <t>12MBH90CP004</t>
        </is>
      </c>
      <c r="D342" s="14" t="inlineStr">
        <is>
          <t>DP OVER ANTI ICING CV</t>
        </is>
      </c>
      <c r="E342" s="84" t="n"/>
      <c r="F342" s="75" t="n">
        <v>-137.89</v>
      </c>
      <c r="G342" s="75" t="n">
        <v>137.89</v>
      </c>
      <c r="H342" s="40" t="n">
        <v>0</v>
      </c>
      <c r="I342" s="40" t="n">
        <v>40</v>
      </c>
      <c r="J342" s="4" t="inlineStr">
        <is>
          <t>Bar</t>
        </is>
      </c>
      <c r="K342" s="19" t="inlineStr">
        <is>
          <t>ROSEMOUNT</t>
        </is>
      </c>
      <c r="L342" s="19" t="inlineStr">
        <is>
          <t>3051 PT</t>
        </is>
      </c>
      <c r="M342" s="19" t="n">
        <v>9914217</v>
      </c>
      <c r="N342" s="2">
        <f>IF(E342="","Waiting","Calibrated")</f>
        <v/>
      </c>
      <c r="O342" s="2" t="n"/>
      <c r="P342" s="2" t="n"/>
      <c r="Q342" s="2" t="n"/>
      <c r="R342" s="28" t="n"/>
      <c r="S342" s="28" t="n"/>
      <c r="T342" s="29" t="n"/>
    </row>
    <row r="343" ht="35.1" customFormat="1" customHeight="1" s="5">
      <c r="A343" s="17" t="n">
        <v>341</v>
      </c>
      <c r="B343" s="17" t="inlineStr">
        <is>
          <t>KIPP12</t>
        </is>
      </c>
      <c r="C343" s="14" t="inlineStr">
        <is>
          <t>12MBL01CP011</t>
        </is>
      </c>
      <c r="D343" s="14" t="inlineStr">
        <is>
          <t>DP AIR INTK FLTR TOT</t>
        </is>
      </c>
      <c r="E343" s="84" t="n"/>
      <c r="F343" s="75" t="n">
        <v>-621.6</v>
      </c>
      <c r="G343" s="75" t="n">
        <v>621.6</v>
      </c>
      <c r="H343" s="40" t="n">
        <v>0</v>
      </c>
      <c r="I343" s="40" t="n">
        <v>3000</v>
      </c>
      <c r="J343" s="4" t="inlineStr">
        <is>
          <t>Pa</t>
        </is>
      </c>
      <c r="K343" s="19" t="inlineStr">
        <is>
          <t>ROSEMOUNT</t>
        </is>
      </c>
      <c r="L343" s="19" t="inlineStr">
        <is>
          <t>3051 PT</t>
        </is>
      </c>
      <c r="M343" s="19" t="n">
        <v>98426871</v>
      </c>
      <c r="N343" s="2">
        <f>IF(E343="","Waiting","Calibrated")</f>
        <v/>
      </c>
      <c r="O343" s="2" t="n"/>
      <c r="P343" s="2" t="n"/>
      <c r="Q343" s="2" t="n"/>
      <c r="R343" s="28" t="n"/>
      <c r="S343" s="28" t="n"/>
      <c r="T343" s="29" t="n"/>
    </row>
    <row r="344" ht="35.1" customFormat="1" customHeight="1" s="5">
      <c r="A344" s="17" t="n">
        <v>342</v>
      </c>
      <c r="B344" s="17" t="inlineStr">
        <is>
          <t>KIPP12</t>
        </is>
      </c>
      <c r="C344" s="14" t="inlineStr">
        <is>
          <t>12MBL01CP012</t>
        </is>
      </c>
      <c r="D344" s="14" t="inlineStr">
        <is>
          <t>DP AIR INTK FLTR TOT</t>
        </is>
      </c>
      <c r="E344" s="84" t="n"/>
      <c r="F344" s="75" t="n">
        <v>-621.6</v>
      </c>
      <c r="G344" s="75" t="n">
        <v>621.6</v>
      </c>
      <c r="H344" s="40" t="n">
        <v>0</v>
      </c>
      <c r="I344" s="40" t="n">
        <v>3000</v>
      </c>
      <c r="J344" s="4" t="inlineStr">
        <is>
          <t>Pa</t>
        </is>
      </c>
      <c r="K344" s="19" t="inlineStr">
        <is>
          <t>ROSEMOUNT</t>
        </is>
      </c>
      <c r="L344" s="19" t="inlineStr">
        <is>
          <t>3051 PT</t>
        </is>
      </c>
      <c r="M344" s="19" t="n">
        <v>9844814</v>
      </c>
      <c r="N344" s="2">
        <f>IF(E344="","Waiting","Calibrated")</f>
        <v/>
      </c>
      <c r="O344" s="2" t="n"/>
      <c r="P344" s="2" t="n"/>
      <c r="Q344" s="2" t="n"/>
      <c r="R344" s="28" t="n"/>
      <c r="S344" s="28" t="n"/>
      <c r="T344" s="29" t="n"/>
    </row>
    <row r="345" ht="35.1" customFormat="1" customHeight="1" s="5">
      <c r="A345" s="17" t="n">
        <v>343</v>
      </c>
      <c r="B345" s="17" t="inlineStr">
        <is>
          <t>KIPP12</t>
        </is>
      </c>
      <c r="C345" s="14" t="inlineStr">
        <is>
          <t>12MBL51CP001</t>
        </is>
      </c>
      <c r="D345" s="14" t="inlineStr">
        <is>
          <t>DP PRE FLTR STAGE</t>
        </is>
      </c>
      <c r="E345" s="84" t="n"/>
      <c r="F345" s="75" t="n">
        <v>-621.6</v>
      </c>
      <c r="G345" s="75" t="n">
        <v>621.6</v>
      </c>
      <c r="H345" s="40" t="n">
        <v>0</v>
      </c>
      <c r="I345" s="40" t="n">
        <v>2500</v>
      </c>
      <c r="J345" s="4" t="inlineStr">
        <is>
          <t>Pa</t>
        </is>
      </c>
      <c r="K345" s="19" t="inlineStr">
        <is>
          <t>ROSEMOUNT</t>
        </is>
      </c>
      <c r="L345" s="19" t="inlineStr">
        <is>
          <t>3051 PT</t>
        </is>
      </c>
      <c r="M345" s="19" t="n">
        <v>9844808</v>
      </c>
      <c r="N345" s="2">
        <f>IF(E345="","Waiting","Calibrated")</f>
        <v/>
      </c>
      <c r="O345" s="2" t="n"/>
      <c r="P345" s="2" t="n"/>
      <c r="Q345" s="2" t="n"/>
      <c r="R345" s="28" t="n"/>
      <c r="S345" s="28" t="n"/>
      <c r="T345" s="29" t="n"/>
    </row>
    <row r="346" ht="35.1" customFormat="1" customHeight="1" s="5">
      <c r="A346" s="17" t="n">
        <v>344</v>
      </c>
      <c r="B346" s="17" t="inlineStr">
        <is>
          <t>KIPP12</t>
        </is>
      </c>
      <c r="C346" s="14" t="inlineStr">
        <is>
          <t>12MBL51CP002</t>
        </is>
      </c>
      <c r="D346" s="14" t="inlineStr">
        <is>
          <t>DP FINE FLTR STAGE</t>
        </is>
      </c>
      <c r="E346" s="84" t="n"/>
      <c r="F346" s="75" t="n">
        <v>-621.6</v>
      </c>
      <c r="G346" s="75" t="n">
        <v>621.6</v>
      </c>
      <c r="H346" s="40" t="n">
        <v>0</v>
      </c>
      <c r="I346" s="40" t="n">
        <v>2500</v>
      </c>
      <c r="J346" s="4" t="inlineStr">
        <is>
          <t>Pa</t>
        </is>
      </c>
      <c r="K346" s="19" t="inlineStr">
        <is>
          <t>ROSEMOUNT</t>
        </is>
      </c>
      <c r="L346" s="19" t="inlineStr">
        <is>
          <t>3051 PT</t>
        </is>
      </c>
      <c r="M346" s="19" t="n">
        <v>9844809</v>
      </c>
      <c r="N346" s="2">
        <f>IF(E346="","Waiting","Calibrated")</f>
        <v/>
      </c>
      <c r="O346" s="2" t="n"/>
      <c r="P346" s="2" t="n"/>
      <c r="Q346" s="2" t="n"/>
      <c r="R346" s="28" t="n"/>
      <c r="S346" s="28" t="n"/>
      <c r="T346" s="29" t="n"/>
    </row>
    <row r="347" ht="35.1" customFormat="1" customHeight="1" s="5">
      <c r="A347" s="17" t="n">
        <v>345</v>
      </c>
      <c r="B347" s="17" t="inlineStr">
        <is>
          <t>KIPP12</t>
        </is>
      </c>
      <c r="C347" s="14" t="inlineStr">
        <is>
          <t>12MBL51CP012</t>
        </is>
      </c>
      <c r="D347" s="14" t="inlineStr">
        <is>
          <t>DP FINE FLTR STAGE</t>
        </is>
      </c>
      <c r="E347" s="84" t="n"/>
      <c r="F347" s="75" t="n">
        <v>-621.6</v>
      </c>
      <c r="G347" s="75" t="n">
        <v>621.6</v>
      </c>
      <c r="H347" s="40" t="n">
        <v>0</v>
      </c>
      <c r="I347" s="40" t="n">
        <v>2500</v>
      </c>
      <c r="J347" s="4" t="inlineStr">
        <is>
          <t>Pa</t>
        </is>
      </c>
      <c r="K347" s="19" t="inlineStr">
        <is>
          <t>ROSEMOUNT</t>
        </is>
      </c>
      <c r="L347" s="19" t="inlineStr">
        <is>
          <t>3051 PT</t>
        </is>
      </c>
      <c r="M347" s="19" t="n">
        <v>9844810</v>
      </c>
      <c r="N347" s="2">
        <f>IF(E347="","Waiting","Calibrated")</f>
        <v/>
      </c>
      <c r="O347" s="2" t="n"/>
      <c r="P347" s="2" t="n"/>
      <c r="Q347" s="2" t="n"/>
      <c r="R347" s="28" t="n"/>
      <c r="S347" s="28" t="n"/>
      <c r="T347" s="29" t="n"/>
    </row>
    <row r="348" ht="35.1" customFormat="1" customHeight="1" s="5">
      <c r="A348" s="17" t="n">
        <v>346</v>
      </c>
      <c r="B348" s="17" t="inlineStr">
        <is>
          <t>KIPP12</t>
        </is>
      </c>
      <c r="C348" s="14" t="inlineStr">
        <is>
          <t>12MBL61CP010</t>
        </is>
      </c>
      <c r="D348" s="14" t="inlineStr">
        <is>
          <t>EVAP COOLER PUMP AFTER PRESSURE</t>
        </is>
      </c>
      <c r="E348" s="84" t="n"/>
      <c r="F348" s="75" t="n">
        <v>-621.6</v>
      </c>
      <c r="G348" s="75" t="n">
        <v>621.6</v>
      </c>
      <c r="H348" s="40" t="n">
        <v>0</v>
      </c>
      <c r="I348" s="40" t="n">
        <v>2500</v>
      </c>
      <c r="J348" s="4" t="inlineStr">
        <is>
          <t>Pa</t>
        </is>
      </c>
      <c r="K348" s="19" t="inlineStr">
        <is>
          <t>ROSEMOUNT</t>
        </is>
      </c>
      <c r="L348" s="19" t="inlineStr">
        <is>
          <t>3051 PT</t>
        </is>
      </c>
      <c r="M348" s="19" t="n">
        <v>9852955</v>
      </c>
      <c r="N348" s="2">
        <f>IF(E348="","Waiting","Calibrated")</f>
        <v/>
      </c>
      <c r="O348" s="2" t="n"/>
      <c r="P348" s="2" t="n"/>
      <c r="Q348" s="2" t="n"/>
      <c r="R348" s="28" t="n"/>
      <c r="S348" s="28" t="n"/>
      <c r="T348" s="29" t="n"/>
    </row>
    <row r="349" ht="35.1" customFormat="1" customHeight="1" s="5">
      <c r="A349" s="17" t="n">
        <v>347</v>
      </c>
      <c r="B349" s="17" t="inlineStr">
        <is>
          <t>KIPP12</t>
        </is>
      </c>
      <c r="C349" s="14" t="inlineStr">
        <is>
          <t>12MBP01CP003</t>
        </is>
      </c>
      <c r="D349" s="14" t="inlineStr">
        <is>
          <t>FUEL GAS FILTER DP</t>
        </is>
      </c>
      <c r="E349" s="84" t="n"/>
      <c r="F349" s="75" t="n">
        <v>-2.4864</v>
      </c>
      <c r="G349" s="75" t="n">
        <v>2.4864</v>
      </c>
      <c r="H349" s="40" t="n">
        <v>0</v>
      </c>
      <c r="I349" s="40" t="n">
        <v>1.5</v>
      </c>
      <c r="J349" s="4" t="inlineStr">
        <is>
          <t>Bar</t>
        </is>
      </c>
      <c r="K349" s="19" t="inlineStr">
        <is>
          <t>ROSEMOUNT</t>
        </is>
      </c>
      <c r="L349" s="19" t="inlineStr">
        <is>
          <t>3051 PT</t>
        </is>
      </c>
      <c r="M349" s="19" t="n">
        <v>9789263</v>
      </c>
      <c r="N349" s="2">
        <f>IF(E349="","Waiting","Calibrated")</f>
        <v/>
      </c>
      <c r="O349" s="2" t="n"/>
      <c r="P349" s="2" t="n"/>
      <c r="Q349" s="2" t="n"/>
      <c r="R349" s="28" t="n"/>
      <c r="S349" s="28" t="n"/>
      <c r="T349" s="29" t="n"/>
    </row>
    <row r="350" ht="35.1" customFormat="1" customHeight="1" s="5">
      <c r="A350" s="17" t="n">
        <v>348</v>
      </c>
      <c r="B350" s="17" t="inlineStr">
        <is>
          <t>KIPP12</t>
        </is>
      </c>
      <c r="C350" s="14" t="inlineStr">
        <is>
          <t>12MBP05CP102</t>
        </is>
      </c>
      <c r="D350" s="14" t="inlineStr">
        <is>
          <t>EV FUEL GAS FLOW PT</t>
        </is>
      </c>
      <c r="E350" s="84" t="n"/>
      <c r="F350" s="75" t="n">
        <v>0</v>
      </c>
      <c r="G350" s="75" t="n">
        <v>55.16</v>
      </c>
      <c r="H350" s="40" t="n">
        <v>0</v>
      </c>
      <c r="I350" s="40" t="n">
        <v>55</v>
      </c>
      <c r="J350" s="4" t="inlineStr">
        <is>
          <t>Bar</t>
        </is>
      </c>
      <c r="K350" s="19" t="inlineStr">
        <is>
          <t>ROSEMOUNT</t>
        </is>
      </c>
      <c r="L350" s="19" t="inlineStr">
        <is>
          <t>3051 PT</t>
        </is>
      </c>
      <c r="M350" s="19" t="n">
        <v>9846442</v>
      </c>
      <c r="N350" s="2">
        <f>IF(E350="","Waiting","Calibrated")</f>
        <v/>
      </c>
      <c r="O350" s="2" t="n"/>
      <c r="P350" s="2" t="n"/>
      <c r="Q350" s="2" t="n"/>
      <c r="R350" s="28" t="n"/>
      <c r="S350" s="28" t="n"/>
      <c r="T350" s="29" t="n"/>
    </row>
    <row r="351" ht="35.1" customFormat="1" customHeight="1" s="5">
      <c r="A351" s="17" t="n">
        <v>349</v>
      </c>
      <c r="B351" s="17" t="inlineStr">
        <is>
          <t>KIPP12</t>
        </is>
      </c>
      <c r="C351" s="14" t="inlineStr">
        <is>
          <t>12MBP41CP001</t>
        </is>
      </c>
      <c r="D351" s="14" t="inlineStr">
        <is>
          <t>P AFT TRIP SOV EV</t>
        </is>
      </c>
      <c r="E351" s="84" t="n"/>
      <c r="F351" s="75" t="n">
        <v>-137.89</v>
      </c>
      <c r="G351" s="75" t="n">
        <v>137.89</v>
      </c>
      <c r="H351" s="40" t="n">
        <v>0</v>
      </c>
      <c r="I351" s="40" t="n">
        <v>70</v>
      </c>
      <c r="J351" s="4" t="inlineStr">
        <is>
          <t>Bar</t>
        </is>
      </c>
      <c r="K351" s="19" t="inlineStr">
        <is>
          <t>ROSEMOUNT</t>
        </is>
      </c>
      <c r="L351" s="19" t="inlineStr">
        <is>
          <t>3051 PT</t>
        </is>
      </c>
      <c r="M351" s="19" t="n">
        <v>9782037</v>
      </c>
      <c r="N351" s="2">
        <f>IF(E351="","Waiting","Calibrated")</f>
        <v/>
      </c>
      <c r="O351" s="2" t="n"/>
      <c r="P351" s="2" t="n"/>
      <c r="Q351" s="2" t="n"/>
      <c r="R351" s="28" t="n"/>
      <c r="S351" s="28" t="n"/>
      <c r="T351" s="29" t="n"/>
    </row>
    <row r="352" ht="35.1" customFormat="1" customHeight="1" s="5">
      <c r="A352" s="17" t="n">
        <v>350</v>
      </c>
      <c r="B352" s="17" t="inlineStr">
        <is>
          <t>KIPP12</t>
        </is>
      </c>
      <c r="C352" s="14" t="inlineStr">
        <is>
          <t>12MBP41CP004</t>
        </is>
      </c>
      <c r="D352" s="14" t="inlineStr">
        <is>
          <t>DP CV EV STG2</t>
        </is>
      </c>
      <c r="E352" s="84" t="n"/>
      <c r="F352" s="75" t="n">
        <v>-137.89</v>
      </c>
      <c r="G352" s="75" t="n">
        <v>137.89</v>
      </c>
      <c r="H352" s="40" t="n">
        <v>0</v>
      </c>
      <c r="I352" s="40" t="n">
        <v>70</v>
      </c>
      <c r="J352" s="4" t="inlineStr">
        <is>
          <t>Bar</t>
        </is>
      </c>
      <c r="K352" s="19" t="inlineStr">
        <is>
          <t>ROSEMOUNT</t>
        </is>
      </c>
      <c r="L352" s="19" t="inlineStr">
        <is>
          <t>3051 PT</t>
        </is>
      </c>
      <c r="M352" s="19" t="n">
        <v>9782043</v>
      </c>
      <c r="N352" s="2">
        <f>IF(E352="","Waiting","Calibrated")</f>
        <v/>
      </c>
      <c r="O352" s="2" t="n"/>
      <c r="P352" s="2" t="n"/>
      <c r="Q352" s="2" t="n"/>
      <c r="R352" s="28" t="n"/>
      <c r="S352" s="28" t="n"/>
      <c r="T352" s="29" t="n"/>
    </row>
    <row r="353" ht="35.1" customFormat="1" customHeight="1" s="5">
      <c r="A353" s="17" t="n">
        <v>351</v>
      </c>
      <c r="B353" s="17" t="inlineStr">
        <is>
          <t>KIPP12</t>
        </is>
      </c>
      <c r="C353" s="14" t="inlineStr">
        <is>
          <t>12MBP41CP006</t>
        </is>
      </c>
      <c r="D353" s="14" t="inlineStr">
        <is>
          <t>P AFT CV FGAS EV</t>
        </is>
      </c>
      <c r="E353" s="84" t="n"/>
      <c r="F353" s="75" t="n">
        <v>-137.89</v>
      </c>
      <c r="G353" s="75" t="n">
        <v>137.89</v>
      </c>
      <c r="H353" s="40" t="n">
        <v>0</v>
      </c>
      <c r="I353" s="40" t="n">
        <v>70</v>
      </c>
      <c r="J353" s="4" t="inlineStr">
        <is>
          <t>Bar</t>
        </is>
      </c>
      <c r="K353" s="19" t="inlineStr">
        <is>
          <t>ROSEMOUNT</t>
        </is>
      </c>
      <c r="L353" s="19" t="inlineStr">
        <is>
          <t>3051 PT</t>
        </is>
      </c>
      <c r="M353" s="19" t="n">
        <v>9782038</v>
      </c>
      <c r="N353" s="2">
        <f>IF(E353="","Waiting","Calibrated")</f>
        <v/>
      </c>
      <c r="O353" s="2" t="n"/>
      <c r="P353" s="2" t="n"/>
      <c r="Q353" s="2" t="n"/>
      <c r="R353" s="28" t="n"/>
      <c r="S353" s="28" t="n"/>
      <c r="T353" s="29" t="n"/>
    </row>
    <row r="354" ht="35.1" customFormat="1" customHeight="1" s="5">
      <c r="A354" s="17" t="n">
        <v>352</v>
      </c>
      <c r="B354" s="17" t="inlineStr">
        <is>
          <t>KIPP12</t>
        </is>
      </c>
      <c r="C354" s="14" t="inlineStr">
        <is>
          <t>12MBP42CP001</t>
        </is>
      </c>
      <c r="D354" s="14" t="inlineStr">
        <is>
          <t>P BEF FGAS TRIP SOV SEV</t>
        </is>
      </c>
      <c r="E354" s="84" t="n"/>
      <c r="F354" s="75" t="n">
        <v>-137.89</v>
      </c>
      <c r="G354" s="75" t="n">
        <v>137.89</v>
      </c>
      <c r="H354" s="40" t="n">
        <v>0</v>
      </c>
      <c r="I354" s="40" t="n">
        <v>70</v>
      </c>
      <c r="J354" s="4" t="inlineStr">
        <is>
          <t>Bar</t>
        </is>
      </c>
      <c r="K354" s="19" t="inlineStr">
        <is>
          <t>ROSEMOUNT</t>
        </is>
      </c>
      <c r="L354" s="19" t="inlineStr">
        <is>
          <t>3051 PT</t>
        </is>
      </c>
      <c r="M354" s="19" t="n">
        <v>9782039</v>
      </c>
      <c r="N354" s="2">
        <f>IF(E354="","Waiting","Calibrated")</f>
        <v/>
      </c>
      <c r="O354" s="2" t="n"/>
      <c r="P354" s="2" t="n"/>
      <c r="Q354" s="2" t="n"/>
      <c r="R354" s="28" t="n"/>
      <c r="S354" s="28" t="n"/>
      <c r="T354" s="29" t="n"/>
    </row>
    <row r="355" ht="35.1" customFormat="1" customHeight="1" s="5">
      <c r="A355" s="17" t="n">
        <v>353</v>
      </c>
      <c r="B355" s="17" t="inlineStr">
        <is>
          <t>KIPP12</t>
        </is>
      </c>
      <c r="C355" s="14" t="inlineStr">
        <is>
          <t>12MBP42CP004</t>
        </is>
      </c>
      <c r="D355" s="14" t="inlineStr">
        <is>
          <t>DP CV FGAS SEV</t>
        </is>
      </c>
      <c r="E355" s="84" t="n"/>
      <c r="F355" s="75" t="n">
        <v>-137.89</v>
      </c>
      <c r="G355" s="75" t="n">
        <v>137.89</v>
      </c>
      <c r="H355" s="40" t="n">
        <v>0</v>
      </c>
      <c r="I355" s="40" t="n">
        <v>70</v>
      </c>
      <c r="J355" s="4" t="inlineStr">
        <is>
          <t>Bar</t>
        </is>
      </c>
      <c r="K355" s="19" t="inlineStr">
        <is>
          <t>ROSEMOUNT</t>
        </is>
      </c>
      <c r="L355" s="19" t="inlineStr">
        <is>
          <t>3051 PT</t>
        </is>
      </c>
      <c r="M355" s="19" t="n">
        <v>9782044</v>
      </c>
      <c r="N355" s="2">
        <f>IF(E355="","Waiting","Calibrated")</f>
        <v/>
      </c>
      <c r="O355" s="2" t="n"/>
      <c r="P355" s="2" t="n"/>
      <c r="Q355" s="2" t="n"/>
      <c r="R355" s="28" t="n"/>
      <c r="S355" s="28" t="n"/>
      <c r="T355" s="29" t="n"/>
    </row>
    <row r="356" ht="35.1" customFormat="1" customHeight="1" s="5">
      <c r="A356" s="17" t="n">
        <v>354</v>
      </c>
      <c r="B356" s="17" t="inlineStr">
        <is>
          <t>KIPP12</t>
        </is>
      </c>
      <c r="C356" s="14" t="inlineStr">
        <is>
          <t>12MBP42CP006</t>
        </is>
      </c>
      <c r="D356" s="14" t="inlineStr">
        <is>
          <t>P AFT CV FGAS SEV</t>
        </is>
      </c>
      <c r="E356" s="84" t="n"/>
      <c r="F356" s="75" t="n">
        <v>-137.89</v>
      </c>
      <c r="G356" s="75" t="n">
        <v>137.89</v>
      </c>
      <c r="H356" s="40" t="n">
        <v>0</v>
      </c>
      <c r="I356" s="40" t="n">
        <v>70</v>
      </c>
      <c r="J356" s="4" t="inlineStr">
        <is>
          <t>Bar</t>
        </is>
      </c>
      <c r="K356" s="19" t="inlineStr">
        <is>
          <t>ROSEMOUNT</t>
        </is>
      </c>
      <c r="L356" s="19" t="inlineStr">
        <is>
          <t>3051 PT</t>
        </is>
      </c>
      <c r="M356" s="19" t="n">
        <v>9782040</v>
      </c>
      <c r="N356" s="2">
        <f>IF(E356="","Waiting","Calibrated")</f>
        <v/>
      </c>
      <c r="O356" s="2" t="n"/>
      <c r="P356" s="2" t="n"/>
      <c r="Q356" s="2" t="n"/>
      <c r="R356" s="28" t="n"/>
      <c r="S356" s="28" t="n"/>
      <c r="T356" s="29" t="n"/>
    </row>
    <row r="357" ht="35.1" customFormat="1" customHeight="1" s="5">
      <c r="A357" s="17" t="n">
        <v>355</v>
      </c>
      <c r="B357" s="17" t="inlineStr">
        <is>
          <t>KIPP12</t>
        </is>
      </c>
      <c r="C357" s="14" t="inlineStr">
        <is>
          <t>12MBP43CP001</t>
        </is>
      </c>
      <c r="D357" s="14" t="inlineStr">
        <is>
          <t>P BFR CV EV STG1 FGAS</t>
        </is>
      </c>
      <c r="E357" s="84" t="n"/>
      <c r="F357" s="75" t="n">
        <v>-137.89</v>
      </c>
      <c r="G357" s="75" t="n">
        <v>137.89</v>
      </c>
      <c r="H357" s="40" t="n">
        <v>0</v>
      </c>
      <c r="I357" s="40" t="n">
        <v>70</v>
      </c>
      <c r="J357" s="4" t="inlineStr">
        <is>
          <t>Bar</t>
        </is>
      </c>
      <c r="K357" s="19" t="inlineStr">
        <is>
          <t>ROSEMOUNT</t>
        </is>
      </c>
      <c r="L357" s="19" t="inlineStr">
        <is>
          <t>3051 PT</t>
        </is>
      </c>
      <c r="M357" s="19" t="n">
        <v>9782041</v>
      </c>
      <c r="N357" s="2">
        <f>IF(E357="","Waiting","Calibrated")</f>
        <v/>
      </c>
      <c r="O357" s="2" t="n"/>
      <c r="P357" s="2" t="n"/>
      <c r="Q357" s="2" t="n"/>
      <c r="R357" s="28" t="n"/>
      <c r="S357" s="28" t="n"/>
      <c r="T357" s="29" t="n"/>
    </row>
    <row r="358" ht="35.1" customFormat="1" customHeight="1" s="5">
      <c r="A358" s="17" t="n">
        <v>356</v>
      </c>
      <c r="B358" s="17" t="inlineStr">
        <is>
          <t>KIPP12</t>
        </is>
      </c>
      <c r="C358" s="14" t="inlineStr">
        <is>
          <t>12MBP43CP004</t>
        </is>
      </c>
      <c r="D358" s="14" t="inlineStr">
        <is>
          <t>DP CV EVSTG1 FGAS</t>
        </is>
      </c>
      <c r="E358" s="84" t="n"/>
      <c r="F358" s="75" t="n">
        <v>-137.89</v>
      </c>
      <c r="G358" s="75" t="n">
        <v>137.89</v>
      </c>
      <c r="H358" s="40" t="n">
        <v>0</v>
      </c>
      <c r="I358" s="40" t="n">
        <v>70</v>
      </c>
      <c r="J358" s="4" t="inlineStr">
        <is>
          <t>Bar</t>
        </is>
      </c>
      <c r="K358" s="19" t="inlineStr">
        <is>
          <t>ROSEMOUNT</t>
        </is>
      </c>
      <c r="L358" s="19" t="inlineStr">
        <is>
          <t>3051 PT</t>
        </is>
      </c>
      <c r="M358" s="19" t="n">
        <v>9782045</v>
      </c>
      <c r="N358" s="2">
        <f>IF(E358="","Waiting","Calibrated")</f>
        <v/>
      </c>
      <c r="O358" s="2" t="n"/>
      <c r="P358" s="2" t="n"/>
      <c r="Q358" s="2" t="n"/>
      <c r="R358" s="28" t="n"/>
      <c r="S358" s="28" t="n"/>
      <c r="T358" s="29" t="n"/>
    </row>
    <row r="359" ht="35.1" customFormat="1" customHeight="1" s="5">
      <c r="A359" s="17" t="n">
        <v>357</v>
      </c>
      <c r="B359" s="17" t="inlineStr">
        <is>
          <t>KIPP12</t>
        </is>
      </c>
      <c r="C359" s="14" t="inlineStr">
        <is>
          <t>12MBP43CP006</t>
        </is>
      </c>
      <c r="D359" s="14" t="inlineStr">
        <is>
          <t>P AFT CV EV STG1 FGAS</t>
        </is>
      </c>
      <c r="E359" s="84" t="n"/>
      <c r="F359" s="75" t="n">
        <v>-137.89</v>
      </c>
      <c r="G359" s="75" t="n">
        <v>137.89</v>
      </c>
      <c r="H359" s="40" t="n">
        <v>0</v>
      </c>
      <c r="I359" s="40" t="n">
        <v>70</v>
      </c>
      <c r="J359" s="4" t="inlineStr">
        <is>
          <t>Bar</t>
        </is>
      </c>
      <c r="K359" s="19" t="inlineStr">
        <is>
          <t>ROSEMOUNT</t>
        </is>
      </c>
      <c r="L359" s="19" t="inlineStr">
        <is>
          <t>3051 PT</t>
        </is>
      </c>
      <c r="M359" s="19" t="n">
        <v>9782042</v>
      </c>
      <c r="N359" s="2">
        <f>IF(E359="","Waiting","Calibrated")</f>
        <v/>
      </c>
      <c r="O359" s="2" t="n"/>
      <c r="P359" s="2" t="n"/>
      <c r="Q359" s="2" t="n"/>
      <c r="R359" s="28" t="n"/>
      <c r="S359" s="28" t="n"/>
      <c r="T359" s="29" t="n"/>
    </row>
    <row r="360" ht="35.1" customFormat="1" customHeight="1" s="5">
      <c r="A360" s="17" t="n">
        <v>358</v>
      </c>
      <c r="B360" s="17" t="inlineStr">
        <is>
          <t>KIPP12</t>
        </is>
      </c>
      <c r="C360" s="14" t="inlineStr">
        <is>
          <t>12MBV10CP001</t>
        </is>
      </c>
      <c r="D360" s="14" t="inlineStr">
        <is>
          <t>PRESSURE LUBE OIL TANK</t>
        </is>
      </c>
      <c r="E360" s="84" t="n"/>
      <c r="F360" s="75" t="n">
        <v>-62.16</v>
      </c>
      <c r="G360" s="75" t="n">
        <v>62.16</v>
      </c>
      <c r="H360" s="40" t="n">
        <v>0</v>
      </c>
      <c r="I360" s="40" t="n">
        <v>60</v>
      </c>
      <c r="J360" s="4" t="inlineStr">
        <is>
          <t>Bar</t>
        </is>
      </c>
      <c r="K360" s="19" t="inlineStr">
        <is>
          <t>ROSEMOUNT</t>
        </is>
      </c>
      <c r="L360" s="19" t="inlineStr">
        <is>
          <t>3051 PT</t>
        </is>
      </c>
      <c r="M360" s="19" t="n">
        <v>9782022</v>
      </c>
      <c r="N360" s="2">
        <f>IF(E360="","Waiting","Calibrated")</f>
        <v/>
      </c>
      <c r="O360" s="2" t="n"/>
      <c r="P360" s="2" t="n"/>
      <c r="Q360" s="2" t="n"/>
      <c r="R360" s="28" t="n"/>
      <c r="S360" s="28" t="n"/>
      <c r="T360" s="29" t="n"/>
    </row>
    <row r="361" ht="35.1" customFormat="1" customHeight="1" s="5">
      <c r="A361" s="17" t="n">
        <v>359</v>
      </c>
      <c r="B361" s="17" t="inlineStr">
        <is>
          <t>KIPP12</t>
        </is>
      </c>
      <c r="C361" s="14" t="inlineStr">
        <is>
          <t>12MBV21CP001</t>
        </is>
      </c>
      <c r="D361" s="14" t="inlineStr">
        <is>
          <t>P AFT LUBE OIL PMP 1</t>
        </is>
      </c>
      <c r="E361" s="84" t="n"/>
      <c r="F361" s="75" t="n">
        <v>-1.013</v>
      </c>
      <c r="G361" s="75" t="n">
        <v>10.342</v>
      </c>
      <c r="H361" s="40" t="n">
        <v>0</v>
      </c>
      <c r="I361" s="40" t="n">
        <v>10</v>
      </c>
      <c r="J361" s="4" t="inlineStr">
        <is>
          <t>Bar</t>
        </is>
      </c>
      <c r="K361" s="19" t="inlineStr">
        <is>
          <t>ROSEMOUNT</t>
        </is>
      </c>
      <c r="L361" s="19" t="inlineStr">
        <is>
          <t>2088 PT</t>
        </is>
      </c>
      <c r="M361" s="19" t="n">
        <v>9791825</v>
      </c>
      <c r="N361" s="2">
        <f>IF(E361="","Waiting","Calibrated")</f>
        <v/>
      </c>
      <c r="O361" s="2" t="n"/>
      <c r="P361" s="2" t="n"/>
      <c r="Q361" s="2" t="n"/>
      <c r="R361" s="28" t="n"/>
      <c r="S361" s="28" t="n"/>
      <c r="T361" s="29" t="n"/>
    </row>
    <row r="362" ht="35.1" customFormat="1" customHeight="1" s="5">
      <c r="A362" s="17" t="n">
        <v>360</v>
      </c>
      <c r="B362" s="17" t="inlineStr">
        <is>
          <t>KIPP12</t>
        </is>
      </c>
      <c r="C362" s="14" t="inlineStr">
        <is>
          <t>12MBV21CP002</t>
        </is>
      </c>
      <c r="D362" s="14" t="inlineStr">
        <is>
          <t>P AFT LUBE OIL PMP 2</t>
        </is>
      </c>
      <c r="E362" s="84" t="n"/>
      <c r="F362" s="75" t="n">
        <v>-1.013</v>
      </c>
      <c r="G362" s="75" t="n">
        <v>10.342</v>
      </c>
      <c r="H362" s="40" t="n">
        <v>0</v>
      </c>
      <c r="I362" s="40" t="n">
        <v>10</v>
      </c>
      <c r="J362" s="4" t="inlineStr">
        <is>
          <t>Bar</t>
        </is>
      </c>
      <c r="K362" s="19" t="inlineStr">
        <is>
          <t>ROSEMOUNT</t>
        </is>
      </c>
      <c r="L362" s="19" t="inlineStr">
        <is>
          <t>2088 PT</t>
        </is>
      </c>
      <c r="M362" s="19" t="n">
        <v>9791826</v>
      </c>
      <c r="N362" s="2">
        <f>IF(E362="","Waiting","Calibrated")</f>
        <v/>
      </c>
      <c r="O362" s="2" t="n"/>
      <c r="P362" s="2" t="n"/>
      <c r="Q362" s="2" t="n"/>
      <c r="R362" s="28" t="n"/>
      <c r="S362" s="28" t="n"/>
      <c r="T362" s="29" t="n"/>
    </row>
    <row r="363" ht="35.1" customFormat="1" customHeight="1" s="5">
      <c r="A363" s="17" t="n">
        <v>361</v>
      </c>
      <c r="B363" s="17" t="inlineStr">
        <is>
          <t>KIPP12</t>
        </is>
      </c>
      <c r="C363" s="14" t="inlineStr">
        <is>
          <t>12MBV21CP003</t>
        </is>
      </c>
      <c r="D363" s="14" t="inlineStr">
        <is>
          <t>LUBE OIL FILTER DP</t>
        </is>
      </c>
      <c r="E363" s="84" t="n"/>
      <c r="F363" s="75" t="n">
        <v>-2.4864</v>
      </c>
      <c r="G363" s="75" t="n">
        <v>2.4864</v>
      </c>
      <c r="H363" s="40" t="n">
        <v>-2.5</v>
      </c>
      <c r="I363" s="40" t="n">
        <v>2.5</v>
      </c>
      <c r="J363" s="4" t="inlineStr">
        <is>
          <t>Bar</t>
        </is>
      </c>
      <c r="K363" s="19" t="inlineStr">
        <is>
          <t>ROSEMOUNT</t>
        </is>
      </c>
      <c r="L363" s="19" t="inlineStr">
        <is>
          <t>3051 PT</t>
        </is>
      </c>
      <c r="M363" s="19" t="n">
        <v>9782023</v>
      </c>
      <c r="N363" s="2">
        <f>IF(E363="","Waiting","Calibrated")</f>
        <v/>
      </c>
      <c r="O363" s="2" t="n"/>
      <c r="P363" s="2" t="n"/>
      <c r="Q363" s="2" t="n"/>
      <c r="R363" s="28" t="n"/>
      <c r="S363" s="28" t="n"/>
      <c r="T363" s="29" t="n"/>
    </row>
    <row r="364" ht="35.1" customFormat="1" customHeight="1" s="5">
      <c r="A364" s="17" t="n">
        <v>362</v>
      </c>
      <c r="B364" s="17" t="inlineStr">
        <is>
          <t>KIPP12</t>
        </is>
      </c>
      <c r="C364" s="14" t="inlineStr">
        <is>
          <t>12MBV22CP001</t>
        </is>
      </c>
      <c r="D364" s="14" t="inlineStr">
        <is>
          <t>EMERGENCY LUBE OIL PUMP AFTER PRESSURE</t>
        </is>
      </c>
      <c r="E364" s="84" t="n"/>
      <c r="F364" s="75" t="n">
        <v>-10.342</v>
      </c>
      <c r="G364" s="75" t="n">
        <v>10.342</v>
      </c>
      <c r="H364" s="40" t="n">
        <v>0</v>
      </c>
      <c r="I364" s="40" t="n">
        <v>10</v>
      </c>
      <c r="J364" s="4" t="inlineStr">
        <is>
          <t>Bar</t>
        </is>
      </c>
      <c r="K364" s="19" t="inlineStr">
        <is>
          <t>ROSEMOUNT</t>
        </is>
      </c>
      <c r="L364" s="19" t="inlineStr">
        <is>
          <t>2088 PT</t>
        </is>
      </c>
      <c r="M364" s="19" t="n">
        <v>9791827</v>
      </c>
      <c r="N364" s="2">
        <f>IF(E364="","Waiting","Calibrated")</f>
        <v/>
      </c>
      <c r="O364" s="2" t="n"/>
      <c r="P364" s="2" t="n"/>
      <c r="Q364" s="2" t="n"/>
      <c r="R364" s="28" t="n"/>
      <c r="S364" s="28" t="n"/>
      <c r="T364" s="29" t="n"/>
    </row>
    <row r="365" ht="35.1" customFormat="1" customHeight="1" s="5">
      <c r="A365" s="17" t="n">
        <v>363</v>
      </c>
      <c r="B365" s="17" t="inlineStr">
        <is>
          <t>KIPP12</t>
        </is>
      </c>
      <c r="C365" s="14" t="inlineStr">
        <is>
          <t>12MBV40CP001</t>
        </is>
      </c>
      <c r="D365" s="14" t="inlineStr">
        <is>
          <t>LUBE OIL HEADER PRESSURE</t>
        </is>
      </c>
      <c r="E365" s="84" t="n"/>
      <c r="F365" s="75" t="n">
        <v>-10.342</v>
      </c>
      <c r="G365" s="75" t="n">
        <v>10.342</v>
      </c>
      <c r="H365" s="40" t="n">
        <v>0</v>
      </c>
      <c r="I365" s="40" t="n">
        <v>10</v>
      </c>
      <c r="J365" s="4" t="inlineStr">
        <is>
          <t>Bar</t>
        </is>
      </c>
      <c r="K365" s="19" t="inlineStr">
        <is>
          <t>ROSEMOUNT</t>
        </is>
      </c>
      <c r="L365" s="19" t="inlineStr">
        <is>
          <t>2088 PT</t>
        </is>
      </c>
      <c r="M365" s="19" t="n">
        <v>9791828</v>
      </c>
      <c r="N365" s="2">
        <f>IF(E365="","Waiting","Calibrated")</f>
        <v/>
      </c>
      <c r="O365" s="2" t="n"/>
      <c r="P365" s="2" t="n"/>
      <c r="Q365" s="2" t="n"/>
      <c r="R365" s="28" t="n"/>
      <c r="S365" s="28" t="n"/>
      <c r="T365" s="29" t="n"/>
    </row>
    <row r="366" ht="35.1" customFormat="1" customHeight="1" s="5">
      <c r="A366" s="17" t="n">
        <v>364</v>
      </c>
      <c r="B366" s="17" t="inlineStr">
        <is>
          <t>KIPP12</t>
        </is>
      </c>
      <c r="C366" s="14" t="inlineStr">
        <is>
          <t>12MBV40CP002</t>
        </is>
      </c>
      <c r="D366" s="14" t="inlineStr">
        <is>
          <t>LUBE OIL HEADER PRESSURE</t>
        </is>
      </c>
      <c r="E366" s="84" t="n"/>
      <c r="F366" s="75" t="n">
        <v>-10.342</v>
      </c>
      <c r="G366" s="75" t="n">
        <v>10.342</v>
      </c>
      <c r="H366" s="40" t="n">
        <v>0</v>
      </c>
      <c r="I366" s="40" t="n">
        <v>10</v>
      </c>
      <c r="J366" s="4" t="inlineStr">
        <is>
          <t>Bar</t>
        </is>
      </c>
      <c r="K366" s="19" t="inlineStr">
        <is>
          <t>ROSEMOUNT</t>
        </is>
      </c>
      <c r="L366" s="19" t="inlineStr">
        <is>
          <t>2088 PT</t>
        </is>
      </c>
      <c r="M366" s="19" t="n">
        <v>9791829</v>
      </c>
      <c r="N366" s="2">
        <f>IF(E366="","Waiting","Calibrated")</f>
        <v/>
      </c>
      <c r="O366" s="2" t="n"/>
      <c r="P366" s="2" t="n"/>
      <c r="Q366" s="2" t="n"/>
      <c r="R366" s="28" t="n"/>
      <c r="S366" s="28" t="n"/>
      <c r="T366" s="29" t="n"/>
    </row>
    <row r="367" ht="35.1" customFormat="1" customHeight="1" s="5">
      <c r="A367" s="17" t="n">
        <v>365</v>
      </c>
      <c r="B367" s="17" t="inlineStr">
        <is>
          <t>KIPP12</t>
        </is>
      </c>
      <c r="C367" s="14" t="inlineStr">
        <is>
          <t>12MBV40CP003</t>
        </is>
      </c>
      <c r="D367" s="14" t="inlineStr">
        <is>
          <t>LUBE OIL HEADER PRESSURE</t>
        </is>
      </c>
      <c r="E367" s="84" t="n"/>
      <c r="F367" s="75" t="n">
        <v>-10.342</v>
      </c>
      <c r="G367" s="75" t="n">
        <v>10.342</v>
      </c>
      <c r="H367" s="40" t="n">
        <v>0</v>
      </c>
      <c r="I367" s="40" t="n">
        <v>10</v>
      </c>
      <c r="J367" s="4" t="inlineStr">
        <is>
          <t>Bar</t>
        </is>
      </c>
      <c r="K367" s="19" t="inlineStr">
        <is>
          <t>ROSEMOUNT</t>
        </is>
      </c>
      <c r="L367" s="19" t="inlineStr">
        <is>
          <t>2088 PT</t>
        </is>
      </c>
      <c r="M367" s="19" t="n">
        <v>9791830</v>
      </c>
      <c r="N367" s="2">
        <f>IF(E367="","Waiting","Calibrated")</f>
        <v/>
      </c>
      <c r="O367" s="2" t="n"/>
      <c r="P367" s="2" t="n"/>
      <c r="Q367" s="2" t="n"/>
      <c r="R367" s="28" t="n"/>
      <c r="S367" s="28" t="n"/>
      <c r="T367" s="29" t="n"/>
    </row>
    <row r="368" ht="35.1" customFormat="1" customHeight="1" s="5">
      <c r="A368" s="17" t="n">
        <v>366</v>
      </c>
      <c r="B368" s="17" t="inlineStr">
        <is>
          <t>KIPP12</t>
        </is>
      </c>
      <c r="C368" s="14" t="inlineStr">
        <is>
          <t>12MBV40CP006</t>
        </is>
      </c>
      <c r="D368" s="14" t="inlineStr">
        <is>
          <t>P LUBE OIL HEADER 6 ( PRESSURE SWITCH )</t>
        </is>
      </c>
      <c r="E368" s="84" t="n"/>
      <c r="F368" s="75" t="n">
        <v>0</v>
      </c>
      <c r="G368" s="75" t="n">
        <v>10</v>
      </c>
      <c r="H368" s="40" t="n">
        <v>1.99</v>
      </c>
      <c r="I368" s="40" t="n">
        <v>2.2</v>
      </c>
      <c r="J368" s="4" t="inlineStr">
        <is>
          <t>Bar</t>
        </is>
      </c>
      <c r="K368" s="19" t="inlineStr">
        <is>
          <t>Trafog</t>
        </is>
      </c>
      <c r="L368" s="19" t="inlineStr">
        <is>
          <t>Switch</t>
        </is>
      </c>
      <c r="M368" s="19" t="inlineStr">
        <is>
          <t>-</t>
        </is>
      </c>
      <c r="N368" s="2">
        <f>IF(E368="","Waiting","Calibrated")</f>
        <v/>
      </c>
      <c r="O368" s="2" t="n"/>
      <c r="P368" s="2" t="n"/>
      <c r="Q368" s="2" t="n"/>
      <c r="R368" s="28" t="n"/>
      <c r="S368" s="28" t="n"/>
      <c r="T368" s="29" t="n"/>
    </row>
    <row r="369" ht="35.1" customFormat="1" customHeight="1" s="5">
      <c r="A369" s="17" t="n">
        <v>367</v>
      </c>
      <c r="B369" s="17" t="inlineStr">
        <is>
          <t>KIPP12</t>
        </is>
      </c>
      <c r="C369" s="14" t="inlineStr">
        <is>
          <t>12MBX21CP001</t>
        </is>
      </c>
      <c r="D369" s="14" t="inlineStr">
        <is>
          <t>P AFT PWR OIL PMP 1</t>
        </is>
      </c>
      <c r="E369" s="84" t="n"/>
      <c r="F369" s="75" t="n">
        <v>-1.01</v>
      </c>
      <c r="G369" s="75" t="n">
        <v>55.16</v>
      </c>
      <c r="H369" s="40" t="n">
        <v>0</v>
      </c>
      <c r="I369" s="40" t="n">
        <v>52</v>
      </c>
      <c r="J369" s="4" t="inlineStr">
        <is>
          <t>Bar</t>
        </is>
      </c>
      <c r="K369" s="19" t="inlineStr">
        <is>
          <t>ROSEMOUNT</t>
        </is>
      </c>
      <c r="L369" s="19" t="inlineStr">
        <is>
          <t>2088 PT</t>
        </is>
      </c>
      <c r="M369" s="19" t="inlineStr">
        <is>
          <t>9791831</t>
        </is>
      </c>
      <c r="N369" s="2">
        <f>IF(E369="","Waiting","Calibrated")</f>
        <v/>
      </c>
      <c r="O369" s="2" t="n"/>
      <c r="P369" s="2" t="n"/>
      <c r="Q369" s="2" t="n"/>
      <c r="R369" s="28" t="n"/>
      <c r="S369" s="28" t="n"/>
      <c r="T369" s="29" t="n"/>
    </row>
    <row r="370" ht="35.1" customFormat="1" customHeight="1" s="5">
      <c r="A370" s="17" t="n">
        <v>368</v>
      </c>
      <c r="B370" s="17" t="inlineStr">
        <is>
          <t>KIPP12</t>
        </is>
      </c>
      <c r="C370" s="14" t="inlineStr">
        <is>
          <t>12MBX21CP002</t>
        </is>
      </c>
      <c r="D370" s="14" t="inlineStr">
        <is>
          <t>P AFT PWR OIL PMP 2</t>
        </is>
      </c>
      <c r="E370" s="84" t="n"/>
      <c r="F370" s="75" t="n">
        <v>-1.01</v>
      </c>
      <c r="G370" s="75" t="n">
        <v>55.16</v>
      </c>
      <c r="H370" s="40" t="n">
        <v>0</v>
      </c>
      <c r="I370" s="40" t="n">
        <v>52</v>
      </c>
      <c r="J370" s="4" t="inlineStr">
        <is>
          <t>Bar</t>
        </is>
      </c>
      <c r="K370" s="19" t="inlineStr">
        <is>
          <t>ROSEMOUNT</t>
        </is>
      </c>
      <c r="L370" s="19" t="inlineStr">
        <is>
          <t>2088 PT</t>
        </is>
      </c>
      <c r="M370" s="19" t="n">
        <v>9791832</v>
      </c>
      <c r="N370" s="2">
        <f>IF(E370="","Waiting","Calibrated")</f>
        <v/>
      </c>
      <c r="O370" s="2" t="n"/>
      <c r="P370" s="2" t="n"/>
      <c r="Q370" s="2" t="n"/>
      <c r="R370" s="28" t="n"/>
      <c r="S370" s="28" t="n"/>
      <c r="T370" s="29" t="n"/>
    </row>
    <row r="371" ht="35.1" customFormat="1" customHeight="1" s="5">
      <c r="A371" s="17" t="n">
        <v>369</v>
      </c>
      <c r="B371" s="17" t="inlineStr">
        <is>
          <t>KIPP12</t>
        </is>
      </c>
      <c r="C371" s="14" t="inlineStr">
        <is>
          <t>12MBX21CP010</t>
        </is>
      </c>
      <c r="D371" s="14" t="inlineStr">
        <is>
          <t>GT P/O TWIN FILTER PDT</t>
        </is>
      </c>
      <c r="E371" s="84" t="n"/>
      <c r="F371" s="75" t="n">
        <v>-20.684</v>
      </c>
      <c r="G371" s="75" t="n">
        <v>20.684</v>
      </c>
      <c r="H371" s="40" t="inlineStr">
        <is>
          <t>-2</t>
        </is>
      </c>
      <c r="I371" s="40" t="inlineStr">
        <is>
          <t>8</t>
        </is>
      </c>
      <c r="J371" s="4" t="inlineStr">
        <is>
          <t>Bar</t>
        </is>
      </c>
      <c r="K371" s="19" t="inlineStr">
        <is>
          <t>ROSEMOUNT</t>
        </is>
      </c>
      <c r="L371" s="19" t="inlineStr">
        <is>
          <t>3051CD</t>
        </is>
      </c>
      <c r="M371" s="19" t="inlineStr">
        <is>
          <t>9782046</t>
        </is>
      </c>
      <c r="N371" s="2">
        <f>IF(E371="","Waiting","Calibrated")</f>
        <v/>
      </c>
      <c r="O371" s="2" t="n"/>
      <c r="P371" s="2" t="n"/>
      <c r="Q371" s="2" t="n"/>
      <c r="R371" s="28" t="n"/>
      <c r="S371" s="28" t="n"/>
      <c r="T371" s="29" t="n"/>
    </row>
    <row r="372" ht="35.1" customFormat="1" customHeight="1" s="5">
      <c r="A372" s="17" t="n">
        <v>370</v>
      </c>
      <c r="B372" s="17" t="inlineStr">
        <is>
          <t>KIPP12</t>
        </is>
      </c>
      <c r="C372" s="14" t="inlineStr">
        <is>
          <t>12MBX42CP001</t>
        </is>
      </c>
      <c r="D372" s="14" t="inlineStr">
        <is>
          <t>P HYDR SAFETY SYS</t>
        </is>
      </c>
      <c r="E372" s="84" t="n"/>
      <c r="F372" s="75" t="n">
        <v>-137.89</v>
      </c>
      <c r="G372" s="75" t="n">
        <v>137.89</v>
      </c>
      <c r="H372" s="40" t="n">
        <v>0</v>
      </c>
      <c r="I372" s="40" t="n">
        <v>60</v>
      </c>
      <c r="J372" s="4" t="inlineStr">
        <is>
          <t>Bar</t>
        </is>
      </c>
      <c r="K372" s="19" t="inlineStr">
        <is>
          <t>ROSEMOUNT</t>
        </is>
      </c>
      <c r="L372" s="19" t="inlineStr">
        <is>
          <t>3051 PT</t>
        </is>
      </c>
      <c r="M372" s="19" t="n">
        <v>9782047</v>
      </c>
      <c r="N372" s="2">
        <f>IF(E372="","Waiting","Calibrated")</f>
        <v/>
      </c>
      <c r="O372" s="2" t="n"/>
      <c r="P372" s="2" t="n"/>
      <c r="Q372" s="2" t="n"/>
      <c r="R372" s="28" t="n"/>
      <c r="S372" s="28" t="n"/>
      <c r="T372" s="29" t="n"/>
    </row>
    <row r="373" ht="35.1" customFormat="1" customHeight="1" s="5">
      <c r="A373" s="17" t="n">
        <v>371</v>
      </c>
      <c r="B373" s="17" t="inlineStr">
        <is>
          <t>KIPP12</t>
        </is>
      </c>
      <c r="C373" s="14" t="inlineStr">
        <is>
          <t>12LAB90CP001</t>
        </is>
      </c>
      <c r="D373" s="14" t="inlineStr">
        <is>
          <t>FEED WATER TO GT OTC STRAINER PDT</t>
        </is>
      </c>
      <c r="E373" s="84" t="n"/>
      <c r="F373" s="75" t="n">
        <v>-5</v>
      </c>
      <c r="G373" s="75" t="n">
        <v>5</v>
      </c>
      <c r="H373" s="40" t="n">
        <v>0</v>
      </c>
      <c r="I373" s="40" t="n">
        <v>2</v>
      </c>
      <c r="J373" s="4" t="inlineStr">
        <is>
          <t>Bar</t>
        </is>
      </c>
      <c r="K373" s="19" t="inlineStr">
        <is>
          <t>YOKOGAWA</t>
        </is>
      </c>
      <c r="L373" s="19" t="inlineStr">
        <is>
          <t>EJA110E</t>
        </is>
      </c>
      <c r="M373" s="19" t="inlineStr">
        <is>
          <t>91S313546</t>
        </is>
      </c>
      <c r="N373" s="2">
        <f>IF(E373="","Waiting","Calibrated")</f>
        <v/>
      </c>
      <c r="O373" s="2" t="n"/>
      <c r="P373" s="2" t="n"/>
      <c r="Q373" s="2" t="n"/>
      <c r="R373" s="28" t="n"/>
      <c r="S373" s="28" t="n"/>
      <c r="T373" s="29" t="n"/>
    </row>
    <row r="374" ht="35.1" customFormat="1" customHeight="1" s="5">
      <c r="A374" s="17" t="n">
        <v>372</v>
      </c>
      <c r="B374" s="17" t="inlineStr">
        <is>
          <t>KIPP12</t>
        </is>
      </c>
      <c r="C374" s="14" t="inlineStr">
        <is>
          <t>12LAB91CF101</t>
        </is>
      </c>
      <c r="D374" s="14" t="inlineStr">
        <is>
          <t>FW LP OTC  FITCA</t>
        </is>
      </c>
      <c r="E374" s="84" t="n">
        <v>46097</v>
      </c>
      <c r="F374" s="75" t="n">
        <v>-2486.4</v>
      </c>
      <c r="G374" s="75" t="n">
        <v>2486.4</v>
      </c>
      <c r="H374" s="39" t="n">
        <v>0</v>
      </c>
      <c r="I374" s="39" t="n">
        <v>600</v>
      </c>
      <c r="J374" s="4" t="inlineStr">
        <is>
          <t>mBar</t>
        </is>
      </c>
      <c r="K374" s="33" t="inlineStr">
        <is>
          <t>ROSEMOUNT</t>
        </is>
      </c>
      <c r="L374" s="33" t="inlineStr">
        <is>
          <t>3051CD</t>
        </is>
      </c>
      <c r="M374" s="20" t="n">
        <v>9816774</v>
      </c>
      <c r="N374" s="2">
        <f>IF(E374="","Waiting","Calibrated")</f>
        <v/>
      </c>
      <c r="O374" s="2" t="n"/>
      <c r="P374" s="2" t="n"/>
      <c r="Q374" s="2" t="n"/>
      <c r="R374" s="28" t="n"/>
      <c r="S374" s="28" t="n"/>
      <c r="T374" s="29" t="n"/>
    </row>
    <row r="375" ht="35.1" customFormat="1" customHeight="1" s="5">
      <c r="A375" s="17" t="n">
        <v>373</v>
      </c>
      <c r="B375" s="17" t="inlineStr">
        <is>
          <t>KIPP12</t>
        </is>
      </c>
      <c r="C375" s="14" t="inlineStr">
        <is>
          <t>12LAB91CF102</t>
        </is>
      </c>
      <c r="D375" s="14" t="inlineStr">
        <is>
          <t>FW LP OTC  FITCA</t>
        </is>
      </c>
      <c r="E375" s="84" t="n">
        <v>46097</v>
      </c>
      <c r="F375" s="75" t="n">
        <v>-2486.4</v>
      </c>
      <c r="G375" s="75" t="n">
        <v>2486.4</v>
      </c>
      <c r="H375" s="39" t="n">
        <v>0</v>
      </c>
      <c r="I375" s="39" t="n">
        <v>600</v>
      </c>
      <c r="J375" s="4" t="inlineStr">
        <is>
          <t>mBar</t>
        </is>
      </c>
      <c r="K375" s="33" t="inlineStr">
        <is>
          <t>ROSEMOUNT</t>
        </is>
      </c>
      <c r="L375" s="33" t="inlineStr">
        <is>
          <t>3051CD</t>
        </is>
      </c>
      <c r="M375" s="20" t="n">
        <v>9816937</v>
      </c>
      <c r="N375" s="2">
        <f>IF(E375="","Waiting","Calibrated")</f>
        <v/>
      </c>
      <c r="O375" s="2" t="n"/>
      <c r="P375" s="2" t="n"/>
      <c r="Q375" s="2" t="n"/>
      <c r="R375" s="28" t="n"/>
      <c r="S375" s="28" t="n"/>
      <c r="T375" s="29" t="n"/>
    </row>
    <row r="376" ht="35.1" customFormat="1" customHeight="1" s="5">
      <c r="A376" s="17" t="n">
        <v>374</v>
      </c>
      <c r="B376" s="17" t="inlineStr">
        <is>
          <t>KIPP12</t>
        </is>
      </c>
      <c r="C376" s="14" t="inlineStr">
        <is>
          <t>12LAB92CF101</t>
        </is>
      </c>
      <c r="D376" s="14" t="inlineStr">
        <is>
          <t>FW HP OTC  FITCA</t>
        </is>
      </c>
      <c r="E376" s="84" t="n">
        <v>46097</v>
      </c>
      <c r="F376" s="75" t="n">
        <v>-2486.4</v>
      </c>
      <c r="G376" s="75" t="n">
        <v>2486.4</v>
      </c>
      <c r="H376" s="39" t="n">
        <v>0</v>
      </c>
      <c r="I376" s="39" t="n">
        <v>250</v>
      </c>
      <c r="J376" s="4" t="inlineStr">
        <is>
          <t>mBar</t>
        </is>
      </c>
      <c r="K376" s="33" t="inlineStr">
        <is>
          <t>ROSEMOUNT</t>
        </is>
      </c>
      <c r="L376" s="33" t="inlineStr">
        <is>
          <t>3051CD</t>
        </is>
      </c>
      <c r="M376" s="20" t="n">
        <v>9816776</v>
      </c>
      <c r="N376" s="2">
        <f>IF(E376="","Waiting","Calibrated")</f>
        <v/>
      </c>
      <c r="O376" s="2" t="n"/>
      <c r="P376" s="2" t="n"/>
      <c r="Q376" s="2" t="n"/>
      <c r="R376" s="28" t="n"/>
      <c r="S376" s="28" t="n"/>
      <c r="T376" s="29" t="n"/>
    </row>
    <row r="377" ht="35.1" customFormat="1" customHeight="1" s="5">
      <c r="A377" s="17" t="n">
        <v>375</v>
      </c>
      <c r="B377" s="17" t="inlineStr">
        <is>
          <t>KIPP12</t>
        </is>
      </c>
      <c r="C377" s="14" t="inlineStr">
        <is>
          <t>12LAB92CF102</t>
        </is>
      </c>
      <c r="D377" s="14" t="inlineStr">
        <is>
          <t>FW HP OTC  FITCA</t>
        </is>
      </c>
      <c r="E377" s="84" t="n">
        <v>46097</v>
      </c>
      <c r="F377" s="75" t="n">
        <v>-2486.4</v>
      </c>
      <c r="G377" s="75" t="n">
        <v>2486.4</v>
      </c>
      <c r="H377" s="39" t="n">
        <v>0</v>
      </c>
      <c r="I377" s="39" t="n">
        <v>250</v>
      </c>
      <c r="J377" s="4" t="inlineStr">
        <is>
          <t>mBar</t>
        </is>
      </c>
      <c r="K377" s="33" t="inlineStr">
        <is>
          <t>ROSEMOUNT</t>
        </is>
      </c>
      <c r="L377" s="33" t="inlineStr">
        <is>
          <t>3051CD</t>
        </is>
      </c>
      <c r="M377" s="20" t="n">
        <v>9816777</v>
      </c>
      <c r="N377" s="2">
        <f>IF(E377="","Waiting","Calibrated")</f>
        <v/>
      </c>
      <c r="O377" s="2" t="n"/>
      <c r="P377" s="2" t="n"/>
      <c r="Q377" s="2" t="n"/>
      <c r="R377" s="28" t="n"/>
      <c r="S377" s="28" t="n"/>
      <c r="T377" s="29" t="n"/>
    </row>
    <row r="378" ht="30" customFormat="1" customHeight="1" s="5">
      <c r="A378" s="17" t="n">
        <v>376</v>
      </c>
      <c r="B378" s="17" t="inlineStr">
        <is>
          <t>KIPP11</t>
        </is>
      </c>
      <c r="C378" s="14" t="inlineStr">
        <is>
          <t>11HAC25CF002</t>
        </is>
      </c>
      <c r="D378" s="14" t="inlineStr">
        <is>
          <t>IP DRUM FW FLOW A</t>
        </is>
      </c>
      <c r="E378" s="84" t="n">
        <v>46113</v>
      </c>
      <c r="F378" s="75" t="n">
        <v>-621.6</v>
      </c>
      <c r="G378" s="75" t="n">
        <v>621.6</v>
      </c>
      <c r="H378" s="39" t="n">
        <v>0</v>
      </c>
      <c r="I378" s="39" t="n">
        <v>460</v>
      </c>
      <c r="J378" s="4" t="inlineStr">
        <is>
          <t>mBar</t>
        </is>
      </c>
      <c r="K378" s="33" t="inlineStr">
        <is>
          <t>ROSEMOUNT</t>
        </is>
      </c>
      <c r="L378" s="33" t="inlineStr">
        <is>
          <t>2051 PT</t>
        </is>
      </c>
      <c r="M378" s="20" t="n"/>
      <c r="N378" s="2">
        <f>IF(E378="","Waiting","Calibrated")</f>
        <v/>
      </c>
      <c r="O378" s="2" t="n">
        <v>10302924</v>
      </c>
      <c r="P378" s="2" t="inlineStr">
        <is>
          <t>ZM06</t>
        </is>
      </c>
      <c r="Q378" s="2" t="n"/>
      <c r="R378" s="28" t="n"/>
      <c r="S378" s="28" t="n"/>
      <c r="T378" s="29" t="n"/>
      <c r="U378" s="5">
        <f>LEFT(C378,7)</f>
        <v/>
      </c>
      <c r="V378" s="34">
        <f>LEFT(C378,7)&amp;" "&amp;N378</f>
        <v/>
      </c>
      <c r="W378" s="5">
        <f>IF(J378="Bar",ABS(I378-H378)*1,IF(J378="mBar",ABS(I378-H378)/1000,IF(J378="mmH2O",(ABS(I378-H378)*0.09806)/1000,IF(J378="Pa",ABS(I378-H378)/100000,IF(J378="Psi",ABS(I378-H378)*0.0689475729,"")))))</f>
        <v/>
      </c>
      <c r="X378" s="5">
        <f>IF((W378&lt;=2),"D",IF(AND(W378&gt;2,W378&lt;=7),"C",IF(AND(W378&gt;7,W378&lt;=35),"B",IF(W378&gt;100,"A",IF(AND(W378&gt;35,W378&lt;=100),"E","HATA")))))</f>
        <v/>
      </c>
      <c r="Y378" s="104" t="inlineStr">
        <is>
          <t>Fluke 754 Multifunction Process Calibrator</t>
        </is>
      </c>
      <c r="Z378" s="105" t="n">
        <v>45295</v>
      </c>
      <c r="AA378" s="82" t="inlineStr">
        <is>
          <t>Beamex Calibration Pressure Pump  0 - 20 Bar</t>
        </is>
      </c>
      <c r="AB378" s="105" t="inlineStr">
        <is>
          <t>-</t>
        </is>
      </c>
      <c r="AC378" s="34" t="inlineStr">
        <is>
          <t>Fluke 750PD5 Dual Range Pressure Module -1+2 Bar</t>
        </is>
      </c>
      <c r="AD378" s="105" t="n">
        <v>45295</v>
      </c>
      <c r="AE378" s="106" t="n"/>
      <c r="AF378" s="106" t="n"/>
      <c r="AG378" s="106" t="n"/>
      <c r="AH378" s="106" t="n"/>
      <c r="AI378" s="106" t="n"/>
      <c r="AJ378" s="106" t="n"/>
      <c r="AK378" s="106" t="n"/>
      <c r="AL378" s="106" t="n"/>
      <c r="AM378" s="106" t="n"/>
      <c r="AN378" s="5" t="n">
        <v>0</v>
      </c>
    </row>
    <row r="379" ht="30" customFormat="1" customHeight="1" s="5">
      <c r="A379" s="17" t="n">
        <v>377</v>
      </c>
      <c r="B379" s="17" t="inlineStr">
        <is>
          <t>KIPP11</t>
        </is>
      </c>
      <c r="C379" s="14" t="inlineStr">
        <is>
          <t>11HAC25CF003</t>
        </is>
      </c>
      <c r="D379" s="14" t="inlineStr">
        <is>
          <t>IP DRUM FW FLOW B</t>
        </is>
      </c>
      <c r="E379" s="84" t="n">
        <v>46113</v>
      </c>
      <c r="F379" s="75" t="n">
        <v>-621.6</v>
      </c>
      <c r="G379" s="75" t="n">
        <v>621.6</v>
      </c>
      <c r="H379" s="39" t="n">
        <v>0</v>
      </c>
      <c r="I379" s="39" t="n">
        <v>460</v>
      </c>
      <c r="J379" s="4" t="inlineStr">
        <is>
          <t>mBar</t>
        </is>
      </c>
      <c r="K379" s="33" t="inlineStr">
        <is>
          <t>ROSEMOUNT</t>
        </is>
      </c>
      <c r="L379" s="33" t="inlineStr">
        <is>
          <t>2051 PT</t>
        </is>
      </c>
      <c r="M379" s="20" t="n"/>
      <c r="N379" s="2">
        <f>IF(E379="","Waiting","Calibrated")</f>
        <v/>
      </c>
      <c r="O379" s="2" t="n">
        <v>10302973</v>
      </c>
      <c r="P379" s="2" t="inlineStr">
        <is>
          <t>ZM06</t>
        </is>
      </c>
      <c r="Q379" s="2" t="n"/>
      <c r="R379" s="28" t="n"/>
      <c r="S379" s="28" t="n"/>
      <c r="T379" s="29" t="n"/>
      <c r="U379" s="5">
        <f>LEFT(C379,7)</f>
        <v/>
      </c>
      <c r="V379" s="34">
        <f>LEFT(C379,7)&amp;" "&amp;N379</f>
        <v/>
      </c>
      <c r="W379" s="5">
        <f>IF(J379="Bar",ABS(I379-H379)*1,IF(J379="mBar",ABS(I379-H379)/1000,IF(J379="mmH2O",(ABS(I379-H379)*0.09806)/1000,IF(J379="Pa",ABS(I379-H379)/100000,IF(J379="Psi",ABS(I379-H379)*0.0689475729,"")))))</f>
        <v/>
      </c>
      <c r="X379" s="5">
        <f>IF((W379&lt;=2),"D",IF(AND(W379&gt;2,W379&lt;=7),"C",IF(AND(W379&gt;7,W379&lt;=35),"B",IF(W379&gt;100,"A",IF(AND(W379&gt;35,W379&lt;=100),"E","HATA")))))</f>
        <v/>
      </c>
      <c r="Y379" s="104" t="inlineStr">
        <is>
          <t>Fluke 754 Multifunction Process Calibrator</t>
        </is>
      </c>
      <c r="Z379" s="105" t="n">
        <v>45295</v>
      </c>
      <c r="AA379" s="82" t="inlineStr">
        <is>
          <t>Beamex Calibration Pressure Pump  0 - 20 Bar</t>
        </is>
      </c>
      <c r="AB379" s="105" t="inlineStr">
        <is>
          <t>-</t>
        </is>
      </c>
      <c r="AC379" s="34" t="inlineStr">
        <is>
          <t>Fluke 750PD5 Dual Range Pressure Module -1+2 Bar</t>
        </is>
      </c>
      <c r="AD379" s="105" t="n">
        <v>45295</v>
      </c>
      <c r="AE379" s="106" t="n"/>
      <c r="AF379" s="106" t="n"/>
      <c r="AG379" s="106" t="n"/>
      <c r="AH379" s="106" t="n"/>
      <c r="AI379" s="106" t="n"/>
      <c r="AJ379" s="106" t="n"/>
      <c r="AK379" s="106" t="n"/>
      <c r="AL379" s="106" t="n"/>
      <c r="AM379" s="106" t="n"/>
      <c r="AN379" s="5" t="n">
        <v>0</v>
      </c>
    </row>
    <row r="380" ht="30" customFormat="1" customHeight="1" s="5">
      <c r="A380" s="17" t="n"/>
      <c r="B380" s="17" t="n"/>
      <c r="C380" s="14" t="n"/>
      <c r="D380" s="14" t="n"/>
      <c r="E380" s="84" t="n"/>
      <c r="F380" s="75" t="n"/>
      <c r="G380" s="75" t="n"/>
      <c r="H380" s="40" t="n"/>
      <c r="I380" s="40" t="n"/>
      <c r="J380" s="4" t="n"/>
      <c r="K380" s="19" t="n"/>
      <c r="L380" s="19" t="n"/>
      <c r="M380" s="19" t="n"/>
      <c r="N380" s="2" t="n"/>
      <c r="O380" s="2" t="n"/>
      <c r="P380" s="2" t="n"/>
      <c r="Q380" s="2" t="n"/>
      <c r="R380" s="28" t="n"/>
      <c r="S380" s="28" t="n"/>
      <c r="T380" s="29" t="n"/>
    </row>
    <row r="381" ht="30" customFormat="1" customHeight="1" s="5">
      <c r="A381" s="17" t="n"/>
      <c r="B381" s="17" t="n"/>
      <c r="C381" s="14" t="n"/>
      <c r="D381" s="14" t="n"/>
      <c r="E381" s="84" t="n"/>
      <c r="F381" s="75" t="n"/>
      <c r="G381" s="75" t="n"/>
      <c r="H381" s="40" t="n"/>
      <c r="I381" s="40" t="n"/>
      <c r="J381" s="4" t="n"/>
      <c r="K381" s="19" t="n"/>
      <c r="L381" s="19" t="n"/>
      <c r="M381" s="19" t="n"/>
      <c r="N381" s="2" t="n"/>
      <c r="O381" s="2" t="n"/>
      <c r="P381" s="2" t="n"/>
      <c r="Q381" s="2" t="n"/>
      <c r="R381" s="28" t="n"/>
      <c r="S381" s="28" t="n"/>
      <c r="T381" s="29" t="n"/>
    </row>
    <row r="382" ht="30" customFormat="1" customHeight="1" s="5">
      <c r="A382" s="17" t="n"/>
      <c r="B382" s="17" t="n"/>
      <c r="C382" s="14" t="n"/>
      <c r="D382" s="14" t="n"/>
      <c r="E382" s="84" t="n"/>
      <c r="F382" s="75" t="n"/>
      <c r="G382" s="75" t="n"/>
      <c r="H382" s="40" t="n"/>
      <c r="I382" s="40" t="n"/>
      <c r="J382" s="4" t="n"/>
      <c r="K382" s="19" t="n"/>
      <c r="L382" s="19" t="n"/>
      <c r="M382" s="19" t="n"/>
      <c r="N382" s="2" t="n"/>
      <c r="O382" s="2" t="n"/>
      <c r="P382" s="2" t="n"/>
      <c r="Q382" s="2" t="n"/>
      <c r="R382" s="28" t="n"/>
      <c r="S382" s="28" t="n"/>
      <c r="T382" s="29" t="n"/>
    </row>
    <row r="383" ht="30" customFormat="1" customHeight="1" s="5">
      <c r="A383" s="17" t="n"/>
      <c r="B383" s="17" t="n"/>
      <c r="C383" s="14" t="n"/>
      <c r="D383" s="14" t="n"/>
      <c r="E383" s="84" t="n"/>
      <c r="F383" s="75" t="n"/>
      <c r="G383" s="75" t="n"/>
      <c r="H383" s="40" t="n"/>
      <c r="I383" s="40" t="n"/>
      <c r="J383" s="4" t="n"/>
      <c r="K383" s="19" t="n"/>
      <c r="L383" s="19" t="n"/>
      <c r="M383" s="19" t="n"/>
      <c r="N383" s="2" t="n"/>
      <c r="O383" s="2" t="n"/>
      <c r="P383" s="2" t="n"/>
      <c r="Q383" s="2" t="n"/>
      <c r="R383" s="28" t="n"/>
      <c r="S383" s="28" t="n"/>
      <c r="T383" s="29" t="n"/>
    </row>
    <row r="384" ht="30" customFormat="1" customHeight="1" s="5">
      <c r="A384" s="17" t="n"/>
      <c r="B384" s="17" t="n"/>
      <c r="C384" s="14" t="n"/>
      <c r="D384" s="14" t="n"/>
      <c r="E384" s="84" t="n"/>
      <c r="F384" s="75" t="n"/>
      <c r="G384" s="75" t="n"/>
      <c r="H384" s="40" t="n"/>
      <c r="I384" s="40" t="n"/>
      <c r="J384" s="4" t="n"/>
      <c r="K384" s="19" t="n"/>
      <c r="L384" s="19" t="n"/>
      <c r="M384" s="19" t="n"/>
      <c r="N384" s="2" t="n"/>
      <c r="O384" s="2" t="n"/>
      <c r="P384" s="2" t="n"/>
      <c r="Q384" s="2" t="n"/>
      <c r="R384" s="28" t="n"/>
      <c r="S384" s="28" t="n"/>
      <c r="T384" s="29" t="n"/>
    </row>
    <row r="385" ht="30" customFormat="1" customHeight="1" s="5">
      <c r="A385" s="17" t="n"/>
      <c r="B385" s="17" t="n"/>
      <c r="C385" s="14" t="n"/>
      <c r="D385" s="14" t="n"/>
      <c r="E385" s="84" t="n"/>
      <c r="F385" s="75" t="n"/>
      <c r="G385" s="75" t="n"/>
      <c r="H385" s="40" t="n"/>
      <c r="I385" s="40" t="n"/>
      <c r="J385" s="4" t="n"/>
      <c r="K385" s="19" t="n"/>
      <c r="L385" s="19" t="n"/>
      <c r="M385" s="19" t="n"/>
      <c r="N385" s="2" t="n"/>
      <c r="O385" s="2" t="n"/>
      <c r="P385" s="2" t="n"/>
      <c r="Q385" s="2" t="n"/>
      <c r="R385" s="28" t="n"/>
      <c r="S385" s="28" t="n"/>
      <c r="T385" s="29" t="n"/>
    </row>
    <row r="386" ht="30" customFormat="1" customHeight="1" s="5">
      <c r="A386" s="17" t="n"/>
      <c r="B386" s="17" t="n"/>
      <c r="C386" s="14" t="n"/>
      <c r="D386" s="14" t="n"/>
      <c r="E386" s="84" t="n"/>
      <c r="F386" s="75" t="n"/>
      <c r="G386" s="75" t="n"/>
      <c r="H386" s="40" t="n"/>
      <c r="I386" s="40" t="n"/>
      <c r="J386" s="4" t="n"/>
      <c r="K386" s="19" t="n"/>
      <c r="L386" s="19" t="n"/>
      <c r="M386" s="19" t="n"/>
      <c r="N386" s="2" t="n"/>
      <c r="O386" s="2" t="n"/>
      <c r="P386" s="2" t="n"/>
      <c r="Q386" s="2" t="n"/>
      <c r="R386" s="28" t="n"/>
      <c r="S386" s="28" t="n"/>
      <c r="T386" s="29" t="n"/>
    </row>
    <row r="387" ht="30" customFormat="1" customHeight="1" s="5">
      <c r="A387" s="17" t="n"/>
      <c r="B387" s="17" t="n"/>
      <c r="C387" s="14" t="n"/>
      <c r="D387" s="14" t="n"/>
      <c r="E387" s="84" t="n"/>
      <c r="F387" s="75" t="n"/>
      <c r="G387" s="75" t="n"/>
      <c r="H387" s="40" t="n"/>
      <c r="I387" s="40" t="n"/>
      <c r="J387" s="4" t="n"/>
      <c r="K387" s="19" t="n"/>
      <c r="L387" s="19" t="n"/>
      <c r="M387" s="19" t="n"/>
      <c r="N387" s="2" t="n"/>
      <c r="O387" s="2" t="n"/>
      <c r="P387" s="2" t="n"/>
      <c r="Q387" s="2" t="n"/>
      <c r="R387" s="28" t="n"/>
      <c r="S387" s="28" t="n"/>
      <c r="T387" s="29" t="n"/>
    </row>
    <row r="388" ht="30" customFormat="1" customHeight="1" s="5">
      <c r="A388" s="17" t="n"/>
      <c r="B388" s="17" t="n"/>
      <c r="C388" s="14" t="n"/>
      <c r="D388" s="14" t="n"/>
      <c r="E388" s="84" t="n"/>
      <c r="F388" s="75" t="n"/>
      <c r="G388" s="75" t="n"/>
      <c r="H388" s="40" t="n"/>
      <c r="I388" s="40" t="n"/>
      <c r="J388" s="4" t="n"/>
      <c r="K388" s="19" t="n"/>
      <c r="L388" s="19" t="n"/>
      <c r="M388" s="19" t="n"/>
      <c r="N388" s="2" t="n"/>
      <c r="O388" s="2" t="n"/>
      <c r="P388" s="2" t="n"/>
      <c r="Q388" s="2" t="n"/>
      <c r="R388" s="28" t="n"/>
      <c r="S388" s="28" t="n"/>
      <c r="T388" s="29" t="n"/>
    </row>
    <row r="389" ht="30" customFormat="1" customHeight="1" s="5">
      <c r="A389" s="17" t="n"/>
      <c r="B389" s="17" t="n"/>
      <c r="C389" s="14" t="n"/>
      <c r="D389" s="14" t="n"/>
      <c r="E389" s="84" t="n"/>
      <c r="F389" s="75" t="n"/>
      <c r="G389" s="75" t="n"/>
      <c r="H389" s="40" t="n"/>
      <c r="I389" s="40" t="n"/>
      <c r="J389" s="4" t="n"/>
      <c r="K389" s="19" t="n"/>
      <c r="L389" s="19" t="n"/>
      <c r="M389" s="19" t="n"/>
      <c r="N389" s="2" t="n"/>
      <c r="O389" s="2" t="n"/>
      <c r="P389" s="2" t="n"/>
      <c r="Q389" s="2" t="n"/>
      <c r="R389" s="28" t="n"/>
      <c r="S389" s="28" t="n"/>
      <c r="T389" s="29" t="n"/>
    </row>
    <row r="390" ht="30" customFormat="1" customHeight="1" s="5">
      <c r="A390" s="17" t="n"/>
      <c r="B390" s="17" t="n"/>
      <c r="C390" s="14" t="n"/>
      <c r="D390" s="14" t="n"/>
      <c r="E390" s="84" t="n"/>
      <c r="F390" s="75" t="n"/>
      <c r="G390" s="75" t="n"/>
      <c r="H390" s="40" t="n"/>
      <c r="I390" s="40" t="n"/>
      <c r="J390" s="4" t="n"/>
      <c r="K390" s="19" t="n"/>
      <c r="L390" s="19" t="n"/>
      <c r="M390" s="19" t="n"/>
      <c r="N390" s="2" t="n"/>
      <c r="O390" s="2" t="n"/>
      <c r="P390" s="2" t="n"/>
      <c r="Q390" s="2" t="n"/>
      <c r="R390" s="28" t="n"/>
      <c r="S390" s="28" t="n"/>
      <c r="T390" s="29" t="n"/>
    </row>
    <row r="391" ht="30" customFormat="1" customHeight="1" s="5">
      <c r="A391" s="17" t="n"/>
      <c r="B391" s="17" t="n"/>
      <c r="C391" s="14" t="n"/>
      <c r="D391" s="14" t="n"/>
      <c r="E391" s="84" t="n"/>
      <c r="F391" s="75" t="n"/>
      <c r="G391" s="75" t="n"/>
      <c r="H391" s="40" t="n"/>
      <c r="I391" s="40" t="n"/>
      <c r="J391" s="4" t="n"/>
      <c r="K391" s="19" t="n"/>
      <c r="L391" s="19" t="n"/>
      <c r="M391" s="19" t="n"/>
      <c r="N391" s="2" t="n"/>
      <c r="O391" s="2" t="n"/>
      <c r="P391" s="2" t="n"/>
      <c r="Q391" s="2" t="n"/>
      <c r="R391" s="28" t="n"/>
      <c r="S391" s="28" t="n"/>
      <c r="T391" s="29" t="n"/>
    </row>
    <row r="392" ht="30" customFormat="1" customHeight="1" s="5">
      <c r="A392" s="17" t="n"/>
      <c r="B392" s="17" t="n"/>
      <c r="C392" s="14" t="n"/>
      <c r="D392" s="14" t="n"/>
      <c r="E392" s="84" t="n"/>
      <c r="F392" s="75" t="n"/>
      <c r="G392" s="75" t="n"/>
      <c r="H392" s="40" t="n"/>
      <c r="I392" s="40" t="n"/>
      <c r="J392" s="4" t="n"/>
      <c r="K392" s="19" t="n"/>
      <c r="L392" s="19" t="n"/>
      <c r="M392" s="19" t="n"/>
      <c r="N392" s="2" t="n"/>
      <c r="O392" s="2" t="n"/>
      <c r="P392" s="2" t="n"/>
      <c r="Q392" s="2" t="n"/>
      <c r="R392" s="28" t="n"/>
      <c r="S392" s="28" t="n"/>
      <c r="T392" s="29" t="n"/>
    </row>
    <row r="393" ht="30" customFormat="1" customHeight="1" s="5">
      <c r="A393" s="17" t="n"/>
      <c r="B393" s="17" t="n"/>
      <c r="C393" s="14" t="n"/>
      <c r="D393" s="14" t="n"/>
      <c r="E393" s="84" t="n"/>
      <c r="F393" s="75" t="n"/>
      <c r="G393" s="75" t="n"/>
      <c r="H393" s="40" t="n"/>
      <c r="I393" s="40" t="n"/>
      <c r="J393" s="4" t="n"/>
      <c r="K393" s="19" t="n"/>
      <c r="L393" s="19" t="n"/>
      <c r="M393" s="19" t="n"/>
      <c r="N393" s="2" t="n"/>
      <c r="O393" s="2" t="n"/>
      <c r="P393" s="2" t="n"/>
      <c r="Q393" s="2" t="n"/>
      <c r="R393" s="28" t="n"/>
      <c r="S393" s="28" t="n"/>
      <c r="T393" s="29" t="n"/>
    </row>
    <row r="394" ht="30" customFormat="1" customHeight="1" s="5">
      <c r="A394" s="17" t="n"/>
      <c r="B394" s="17" t="n"/>
      <c r="C394" s="14" t="n"/>
      <c r="D394" s="14" t="n"/>
      <c r="E394" s="84" t="n"/>
      <c r="F394" s="75" t="n"/>
      <c r="G394" s="75" t="n"/>
      <c r="H394" s="40" t="n"/>
      <c r="I394" s="40" t="n"/>
      <c r="J394" s="4" t="n"/>
      <c r="K394" s="19" t="n"/>
      <c r="L394" s="19" t="n"/>
      <c r="M394" s="19" t="n"/>
      <c r="N394" s="2" t="n"/>
      <c r="O394" s="2" t="n"/>
      <c r="P394" s="2" t="n"/>
      <c r="Q394" s="2" t="n"/>
      <c r="R394" s="28" t="n"/>
      <c r="S394" s="28" t="n"/>
      <c r="T394" s="29" t="n"/>
    </row>
    <row r="395" ht="30" customFormat="1" customHeight="1" s="5">
      <c r="A395" s="17" t="n"/>
      <c r="B395" s="17" t="n"/>
      <c r="C395" s="14" t="n"/>
      <c r="D395" s="14" t="n"/>
      <c r="E395" s="84" t="n"/>
      <c r="F395" s="75" t="n"/>
      <c r="G395" s="75" t="n"/>
      <c r="H395" s="40" t="n"/>
      <c r="I395" s="40" t="n"/>
      <c r="J395" s="4" t="n"/>
      <c r="K395" s="19" t="n"/>
      <c r="L395" s="19" t="n"/>
      <c r="M395" s="19" t="n"/>
      <c r="N395" s="2" t="n"/>
      <c r="O395" s="2" t="n"/>
      <c r="P395" s="2" t="n"/>
      <c r="Q395" s="2" t="n"/>
      <c r="R395" s="28" t="n"/>
      <c r="S395" s="28" t="n"/>
      <c r="T395" s="29" t="n"/>
    </row>
    <row r="396" ht="30" customFormat="1" customHeight="1" s="5">
      <c r="A396" s="17" t="n"/>
      <c r="B396" s="17" t="n"/>
      <c r="C396" s="14" t="n"/>
      <c r="D396" s="14" t="n"/>
      <c r="E396" s="84" t="n"/>
      <c r="F396" s="75" t="n"/>
      <c r="G396" s="75" t="n"/>
      <c r="H396" s="40" t="n"/>
      <c r="I396" s="40" t="n"/>
      <c r="J396" s="4" t="n"/>
      <c r="K396" s="19" t="n"/>
      <c r="L396" s="19" t="n"/>
      <c r="M396" s="19" t="n"/>
      <c r="N396" s="2" t="n"/>
      <c r="O396" s="2" t="n"/>
      <c r="P396" s="2" t="n"/>
      <c r="Q396" s="2" t="n"/>
      <c r="R396" s="28" t="n"/>
      <c r="S396" s="28" t="n"/>
      <c r="T396" s="29" t="n"/>
    </row>
    <row r="397" ht="30" customFormat="1" customHeight="1" s="5">
      <c r="A397" s="17" t="n"/>
      <c r="B397" s="17" t="n"/>
      <c r="C397" s="14" t="n"/>
      <c r="D397" s="14" t="n"/>
      <c r="E397" s="84" t="n"/>
      <c r="F397" s="75" t="n"/>
      <c r="G397" s="75" t="n"/>
      <c r="H397" s="40" t="n"/>
      <c r="I397" s="40" t="n"/>
      <c r="J397" s="4" t="n"/>
      <c r="K397" s="19" t="n"/>
      <c r="L397" s="19" t="n"/>
      <c r="M397" s="19" t="n"/>
      <c r="N397" s="2" t="n"/>
      <c r="O397" s="2" t="n"/>
      <c r="P397" s="2" t="n"/>
      <c r="Q397" s="2" t="n"/>
      <c r="R397" s="28" t="n"/>
      <c r="S397" s="28" t="n"/>
      <c r="T397" s="29" t="n"/>
    </row>
    <row r="398" ht="30" customFormat="1" customHeight="1" s="5">
      <c r="A398" s="17" t="n"/>
      <c r="B398" s="17" t="n"/>
      <c r="C398" s="14" t="n"/>
      <c r="D398" s="14" t="n"/>
      <c r="E398" s="84" t="n"/>
      <c r="F398" s="75" t="n"/>
      <c r="G398" s="75" t="n"/>
      <c r="H398" s="40" t="n"/>
      <c r="I398" s="40" t="n"/>
      <c r="J398" s="4" t="n"/>
      <c r="K398" s="19" t="n"/>
      <c r="L398" s="19" t="n"/>
      <c r="M398" s="19" t="n"/>
      <c r="N398" s="2" t="n"/>
      <c r="O398" s="2" t="n"/>
      <c r="P398" s="2" t="n"/>
      <c r="Q398" s="2" t="n"/>
      <c r="R398" s="28" t="n"/>
      <c r="S398" s="28" t="n"/>
      <c r="T398" s="29" t="n"/>
    </row>
    <row r="399" ht="30" customFormat="1" customHeight="1" s="5">
      <c r="A399" s="17" t="n"/>
      <c r="B399" s="17" t="n"/>
      <c r="C399" s="14" t="n"/>
      <c r="D399" s="14" t="n"/>
      <c r="E399" s="84" t="n"/>
      <c r="F399" s="75" t="n"/>
      <c r="G399" s="75" t="n"/>
      <c r="H399" s="40" t="n"/>
      <c r="I399" s="40" t="n"/>
      <c r="J399" s="4" t="n"/>
      <c r="K399" s="19" t="n"/>
      <c r="L399" s="19" t="n"/>
      <c r="M399" s="19" t="n"/>
      <c r="N399" s="2" t="n"/>
      <c r="O399" s="2" t="n"/>
      <c r="P399" s="2" t="n"/>
      <c r="Q399" s="2" t="n"/>
      <c r="R399" s="28" t="n"/>
      <c r="S399" s="28" t="n"/>
      <c r="T399" s="29" t="n"/>
    </row>
    <row r="400" ht="30" customFormat="1" customHeight="1" s="5">
      <c r="A400" s="17" t="n"/>
      <c r="B400" s="17" t="n"/>
      <c r="C400" s="14" t="n"/>
      <c r="D400" s="14" t="n"/>
      <c r="E400" s="84" t="n"/>
      <c r="F400" s="75" t="n"/>
      <c r="G400" s="75" t="n"/>
      <c r="H400" s="40" t="n"/>
      <c r="I400" s="40" t="n"/>
      <c r="J400" s="4" t="n"/>
      <c r="K400" s="19" t="n"/>
      <c r="L400" s="19" t="n"/>
      <c r="M400" s="19" t="n"/>
      <c r="N400" s="2" t="n"/>
      <c r="O400" s="2" t="n"/>
      <c r="P400" s="2" t="n"/>
      <c r="Q400" s="2" t="n"/>
      <c r="R400" s="28" t="n"/>
      <c r="S400" s="28" t="n"/>
      <c r="T400" s="29" t="n"/>
    </row>
    <row r="401" ht="30" customFormat="1" customHeight="1" s="5">
      <c r="A401" s="17" t="n"/>
      <c r="B401" s="17" t="n"/>
      <c r="C401" s="14" t="n"/>
      <c r="D401" s="14" t="n"/>
      <c r="E401" s="84" t="n"/>
      <c r="F401" s="75" t="n"/>
      <c r="G401" s="75" t="n"/>
      <c r="H401" s="40" t="n"/>
      <c r="I401" s="40" t="n"/>
      <c r="J401" s="4" t="n"/>
      <c r="K401" s="19" t="n"/>
      <c r="L401" s="19" t="n"/>
      <c r="M401" s="19" t="n"/>
      <c r="N401" s="2" t="n"/>
      <c r="O401" s="2" t="n"/>
      <c r="P401" s="2" t="n"/>
      <c r="Q401" s="2" t="n"/>
      <c r="R401" s="28" t="n"/>
      <c r="S401" s="28" t="n"/>
      <c r="T401" s="29" t="n"/>
    </row>
    <row r="402" ht="30" customFormat="1" customHeight="1" s="5">
      <c r="A402" s="17" t="n"/>
      <c r="B402" s="17" t="n"/>
      <c r="C402" s="14" t="n"/>
      <c r="D402" s="14" t="n"/>
      <c r="E402" s="84" t="n"/>
      <c r="F402" s="75" t="n"/>
      <c r="G402" s="75" t="n"/>
      <c r="H402" s="40" t="n"/>
      <c r="I402" s="40" t="n"/>
      <c r="J402" s="4" t="n"/>
      <c r="K402" s="19" t="n"/>
      <c r="L402" s="19" t="n"/>
      <c r="M402" s="19" t="n"/>
      <c r="N402" s="2" t="n"/>
      <c r="O402" s="2" t="n"/>
      <c r="P402" s="2" t="n"/>
      <c r="Q402" s="2" t="n"/>
      <c r="R402" s="28" t="n"/>
      <c r="S402" s="28" t="n"/>
      <c r="T402" s="29" t="n"/>
    </row>
    <row r="403" ht="30" customFormat="1" customHeight="1" s="5">
      <c r="A403" s="17" t="n"/>
      <c r="B403" s="17" t="n"/>
      <c r="C403" s="14" t="n"/>
      <c r="D403" s="14" t="n"/>
      <c r="E403" s="84" t="n"/>
      <c r="F403" s="75" t="n"/>
      <c r="G403" s="75" t="n"/>
      <c r="H403" s="40" t="n"/>
      <c r="I403" s="40" t="n"/>
      <c r="J403" s="4" t="n"/>
      <c r="K403" s="19" t="n"/>
      <c r="L403" s="19" t="n"/>
      <c r="M403" s="19" t="n"/>
      <c r="N403" s="2" t="n"/>
      <c r="O403" s="2" t="n"/>
      <c r="P403" s="2" t="n"/>
      <c r="Q403" s="2" t="n"/>
      <c r="R403" s="28" t="n"/>
      <c r="S403" s="28" t="n"/>
      <c r="T403" s="29" t="n"/>
    </row>
    <row r="404" ht="30" customFormat="1" customHeight="1" s="5">
      <c r="A404" s="17" t="n"/>
      <c r="B404" s="17" t="n"/>
      <c r="C404" s="14" t="n"/>
      <c r="D404" s="14" t="n"/>
      <c r="E404" s="84" t="n"/>
      <c r="F404" s="75" t="n"/>
      <c r="G404" s="75" t="n"/>
      <c r="H404" s="40" t="n"/>
      <c r="I404" s="40" t="n"/>
      <c r="J404" s="4" t="n"/>
      <c r="K404" s="19" t="n"/>
      <c r="L404" s="19" t="n"/>
      <c r="M404" s="19" t="n"/>
      <c r="N404" s="2" t="n"/>
      <c r="O404" s="2" t="n"/>
      <c r="P404" s="2" t="n"/>
      <c r="Q404" s="2" t="n"/>
      <c r="R404" s="28" t="n"/>
      <c r="S404" s="28" t="n"/>
      <c r="T404" s="29" t="n"/>
    </row>
    <row r="405" ht="30" customFormat="1" customHeight="1" s="5">
      <c r="A405" s="17" t="n"/>
      <c r="B405" s="17" t="n"/>
      <c r="C405" s="14" t="n"/>
      <c r="D405" s="14" t="n"/>
      <c r="E405" s="84" t="n"/>
      <c r="F405" s="75" t="n"/>
      <c r="G405" s="75" t="n"/>
      <c r="H405" s="40" t="n"/>
      <c r="I405" s="40" t="n"/>
      <c r="J405" s="4" t="n"/>
      <c r="K405" s="19" t="n"/>
      <c r="L405" s="19" t="n"/>
      <c r="M405" s="19" t="n"/>
      <c r="N405" s="2" t="n"/>
      <c r="O405" s="2" t="n"/>
      <c r="P405" s="2" t="n"/>
      <c r="Q405" s="2" t="n"/>
      <c r="R405" s="28" t="n"/>
      <c r="S405" s="28" t="n"/>
      <c r="T405" s="29" t="n"/>
    </row>
    <row r="406" ht="30" customFormat="1" customHeight="1" s="5">
      <c r="A406" s="17" t="n"/>
      <c r="B406" s="17" t="n"/>
      <c r="C406" s="14" t="n"/>
      <c r="D406" s="14" t="n"/>
      <c r="E406" s="84" t="n"/>
      <c r="F406" s="75" t="n"/>
      <c r="G406" s="75" t="n"/>
      <c r="H406" s="40" t="n"/>
      <c r="I406" s="40" t="n"/>
      <c r="J406" s="4" t="n"/>
      <c r="K406" s="19" t="n"/>
      <c r="L406" s="19" t="n"/>
      <c r="M406" s="19" t="n"/>
      <c r="N406" s="2" t="n"/>
      <c r="O406" s="2" t="n"/>
      <c r="P406" s="2" t="n"/>
      <c r="Q406" s="2" t="n"/>
      <c r="R406" s="28" t="n"/>
      <c r="S406" s="28" t="n"/>
      <c r="T406" s="29" t="n"/>
    </row>
    <row r="407" ht="30" customFormat="1" customHeight="1" s="5">
      <c r="A407" s="17" t="n"/>
      <c r="B407" s="17" t="n"/>
      <c r="C407" s="14" t="n"/>
      <c r="D407" s="14" t="n"/>
      <c r="E407" s="84" t="n"/>
      <c r="F407" s="75" t="n"/>
      <c r="G407" s="75" t="n"/>
      <c r="H407" s="40" t="n"/>
      <c r="I407" s="40" t="n"/>
      <c r="J407" s="4" t="n"/>
      <c r="K407" s="19" t="n"/>
      <c r="L407" s="19" t="n"/>
      <c r="M407" s="19" t="n"/>
      <c r="N407" s="2" t="n"/>
      <c r="O407" s="2" t="n"/>
      <c r="P407" s="2" t="n"/>
      <c r="Q407" s="2" t="n"/>
      <c r="R407" s="28" t="n"/>
      <c r="S407" s="28" t="n"/>
      <c r="T407" s="29" t="n"/>
    </row>
    <row r="408" ht="30" customFormat="1" customHeight="1" s="5">
      <c r="A408" s="17" t="n"/>
      <c r="B408" s="17" t="n"/>
      <c r="C408" s="14" t="n"/>
      <c r="D408" s="14" t="n"/>
      <c r="E408" s="84" t="n"/>
      <c r="F408" s="75" t="n"/>
      <c r="G408" s="75" t="n"/>
      <c r="H408" s="40" t="n"/>
      <c r="I408" s="40" t="n"/>
      <c r="J408" s="4" t="n"/>
      <c r="K408" s="19" t="n"/>
      <c r="L408" s="19" t="n"/>
      <c r="M408" s="19" t="n"/>
      <c r="N408" s="2" t="n"/>
      <c r="O408" s="2" t="n"/>
      <c r="P408" s="2" t="n"/>
      <c r="Q408" s="2" t="n"/>
      <c r="R408" s="28" t="n"/>
      <c r="S408" s="28" t="n"/>
      <c r="T408" s="29" t="n"/>
    </row>
    <row r="409" ht="30" customFormat="1" customHeight="1" s="5">
      <c r="A409" s="17" t="n"/>
      <c r="B409" s="17" t="n"/>
      <c r="C409" s="14" t="n"/>
      <c r="D409" s="14" t="n"/>
      <c r="E409" s="84" t="n"/>
      <c r="F409" s="75" t="n"/>
      <c r="G409" s="75" t="n"/>
      <c r="H409" s="40" t="n"/>
      <c r="I409" s="40" t="n"/>
      <c r="J409" s="4" t="n"/>
      <c r="K409" s="19" t="n"/>
      <c r="L409" s="19" t="n"/>
      <c r="M409" s="19" t="n"/>
      <c r="N409" s="2" t="n"/>
      <c r="O409" s="2" t="n"/>
      <c r="P409" s="2" t="n"/>
      <c r="Q409" s="2" t="n"/>
      <c r="R409" s="28" t="n"/>
      <c r="S409" s="28" t="n"/>
      <c r="T409" s="29" t="n"/>
    </row>
    <row r="410" ht="30" customFormat="1" customHeight="1" s="5">
      <c r="A410" s="17" t="n"/>
      <c r="B410" s="17" t="n"/>
      <c r="C410" s="14" t="n"/>
      <c r="D410" s="14" t="n"/>
      <c r="E410" s="84" t="n"/>
      <c r="F410" s="75" t="n"/>
      <c r="G410" s="75" t="n"/>
      <c r="H410" s="40" t="n"/>
      <c r="I410" s="40" t="n"/>
      <c r="J410" s="4" t="n"/>
      <c r="K410" s="19" t="n"/>
      <c r="L410" s="19" t="n"/>
      <c r="M410" s="19" t="n"/>
      <c r="N410" s="2" t="n"/>
      <c r="O410" s="2" t="n"/>
      <c r="P410" s="2" t="n"/>
      <c r="Q410" s="2" t="n"/>
      <c r="R410" s="28" t="n"/>
      <c r="S410" s="28" t="n"/>
      <c r="T410" s="29" t="n"/>
    </row>
    <row r="411" ht="30" customFormat="1" customHeight="1" s="5">
      <c r="A411" s="17" t="n"/>
      <c r="B411" s="17" t="n"/>
      <c r="C411" s="14" t="n"/>
      <c r="D411" s="14" t="n"/>
      <c r="E411" s="84" t="n"/>
      <c r="F411" s="75" t="n"/>
      <c r="G411" s="75" t="n"/>
      <c r="H411" s="40" t="n"/>
      <c r="I411" s="40" t="n"/>
      <c r="J411" s="4" t="n"/>
      <c r="K411" s="19" t="n"/>
      <c r="L411" s="19" t="n"/>
      <c r="M411" s="19" t="n"/>
      <c r="N411" s="2" t="n"/>
      <c r="O411" s="2" t="n"/>
      <c r="P411" s="2" t="n"/>
      <c r="Q411" s="2" t="n"/>
      <c r="R411" s="28" t="n"/>
      <c r="S411" s="28" t="n"/>
      <c r="T411" s="29" t="n"/>
    </row>
    <row r="412" ht="30" customFormat="1" customHeight="1" s="5">
      <c r="A412" s="17" t="n"/>
      <c r="B412" s="17" t="n"/>
      <c r="C412" s="14" t="n"/>
      <c r="D412" s="14" t="n"/>
      <c r="E412" s="84" t="n"/>
      <c r="F412" s="75" t="n"/>
      <c r="G412" s="75" t="n"/>
      <c r="H412" s="40" t="n"/>
      <c r="I412" s="40" t="n"/>
      <c r="J412" s="4" t="n"/>
      <c r="K412" s="19" t="n"/>
      <c r="L412" s="19" t="n"/>
      <c r="M412" s="19" t="n"/>
      <c r="N412" s="2" t="n"/>
      <c r="O412" s="2" t="n"/>
      <c r="P412" s="2" t="n"/>
      <c r="Q412" s="2" t="n"/>
      <c r="R412" s="28" t="n"/>
      <c r="S412" s="28" t="n"/>
      <c r="T412" s="29" t="n"/>
    </row>
    <row r="413" ht="30" customFormat="1" customHeight="1" s="5">
      <c r="A413" s="17" t="n"/>
      <c r="B413" s="17" t="n"/>
      <c r="C413" s="14" t="n"/>
      <c r="D413" s="14" t="n"/>
      <c r="E413" s="84" t="n"/>
      <c r="F413" s="75" t="n"/>
      <c r="G413" s="75" t="n"/>
      <c r="H413" s="40" t="n"/>
      <c r="I413" s="40" t="n"/>
      <c r="J413" s="4" t="n"/>
      <c r="K413" s="19" t="n"/>
      <c r="L413" s="19" t="n"/>
      <c r="M413" s="19" t="n"/>
      <c r="N413" s="2" t="n"/>
      <c r="O413" s="2" t="n"/>
      <c r="P413" s="2" t="n"/>
      <c r="Q413" s="2" t="n"/>
      <c r="R413" s="28" t="n"/>
      <c r="S413" s="28" t="n"/>
      <c r="T413" s="29" t="n"/>
    </row>
    <row r="414" ht="30" customFormat="1" customHeight="1" s="5">
      <c r="A414" s="17" t="n"/>
      <c r="B414" s="17" t="n"/>
      <c r="C414" s="14" t="n"/>
      <c r="D414" s="14" t="n"/>
      <c r="E414" s="84" t="n"/>
      <c r="F414" s="75" t="n"/>
      <c r="G414" s="75" t="n"/>
      <c r="H414" s="40" t="n"/>
      <c r="I414" s="40" t="n"/>
      <c r="J414" s="4" t="n"/>
      <c r="K414" s="19" t="n"/>
      <c r="L414" s="19" t="n"/>
      <c r="M414" s="19" t="n"/>
      <c r="N414" s="2" t="n"/>
      <c r="O414" s="2" t="n"/>
      <c r="P414" s="2" t="n"/>
      <c r="Q414" s="2" t="n"/>
      <c r="R414" s="28" t="n"/>
      <c r="S414" s="28" t="n"/>
      <c r="T414" s="29" t="n"/>
    </row>
    <row r="415" ht="30" customFormat="1" customHeight="1" s="5">
      <c r="A415" s="17" t="n"/>
      <c r="B415" s="17" t="n"/>
      <c r="C415" s="14" t="n"/>
      <c r="D415" s="14" t="n"/>
      <c r="E415" s="84" t="n"/>
      <c r="F415" s="75" t="n"/>
      <c r="G415" s="75" t="n"/>
      <c r="H415" s="40" t="n"/>
      <c r="I415" s="40" t="n"/>
      <c r="J415" s="4" t="n"/>
      <c r="K415" s="19" t="n"/>
      <c r="L415" s="19" t="n"/>
      <c r="M415" s="19" t="n"/>
      <c r="N415" s="2" t="n"/>
      <c r="O415" s="2" t="n"/>
      <c r="P415" s="2" t="n"/>
      <c r="Q415" s="2" t="n"/>
      <c r="R415" s="28" t="n"/>
      <c r="S415" s="28" t="n"/>
      <c r="T415" s="29" t="n"/>
    </row>
    <row r="416" ht="30" customFormat="1" customHeight="1" s="5">
      <c r="A416" s="17" t="n"/>
      <c r="B416" s="17" t="n"/>
      <c r="C416" s="14" t="n"/>
      <c r="D416" s="14" t="n"/>
      <c r="E416" s="84" t="n"/>
      <c r="F416" s="75" t="n"/>
      <c r="G416" s="75" t="n"/>
      <c r="H416" s="40" t="n"/>
      <c r="I416" s="40" t="n"/>
      <c r="J416" s="4" t="n"/>
      <c r="K416" s="19" t="n"/>
      <c r="L416" s="19" t="n"/>
      <c r="M416" s="19" t="n"/>
      <c r="N416" s="2" t="n"/>
      <c r="O416" s="2" t="n"/>
      <c r="P416" s="2" t="n"/>
      <c r="Q416" s="2" t="n"/>
      <c r="R416" s="28" t="n"/>
      <c r="S416" s="28" t="n"/>
      <c r="T416" s="29" t="n"/>
    </row>
    <row r="417" ht="30" customFormat="1" customHeight="1" s="5">
      <c r="A417" s="17" t="n"/>
      <c r="B417" s="17" t="n"/>
      <c r="C417" s="14" t="n"/>
      <c r="D417" s="14" t="n"/>
      <c r="E417" s="84" t="n"/>
      <c r="F417" s="75" t="n"/>
      <c r="G417" s="75" t="n"/>
      <c r="H417" s="40" t="n"/>
      <c r="I417" s="40" t="n"/>
      <c r="J417" s="4" t="n"/>
      <c r="K417" s="19" t="n"/>
      <c r="L417" s="19" t="n"/>
      <c r="M417" s="19" t="n"/>
      <c r="N417" s="2" t="n"/>
      <c r="O417" s="2" t="n"/>
      <c r="P417" s="2" t="n"/>
      <c r="Q417" s="2" t="n"/>
      <c r="R417" s="28" t="n"/>
      <c r="S417" s="28" t="n"/>
      <c r="T417" s="29" t="n"/>
    </row>
    <row r="418" ht="30" customFormat="1" customHeight="1" s="5">
      <c r="A418" s="17" t="n"/>
      <c r="B418" s="17" t="n"/>
      <c r="C418" s="14" t="n"/>
      <c r="D418" s="14" t="n"/>
      <c r="E418" s="84" t="n"/>
      <c r="F418" s="75" t="n"/>
      <c r="G418" s="75" t="n"/>
      <c r="H418" s="40" t="n"/>
      <c r="I418" s="40" t="n"/>
      <c r="J418" s="4" t="n"/>
      <c r="K418" s="19" t="n"/>
      <c r="L418" s="19" t="n"/>
      <c r="M418" s="19" t="n"/>
      <c r="N418" s="2" t="n"/>
      <c r="O418" s="2" t="n"/>
      <c r="P418" s="2" t="n"/>
      <c r="Q418" s="2" t="n"/>
      <c r="R418" s="28" t="n"/>
      <c r="S418" s="28" t="n"/>
      <c r="T418" s="29" t="n"/>
    </row>
    <row r="419" ht="30" customFormat="1" customHeight="1" s="5">
      <c r="A419" s="17" t="n"/>
      <c r="B419" s="17" t="n"/>
      <c r="C419" s="14" t="n"/>
      <c r="D419" s="14" t="n"/>
      <c r="E419" s="84" t="n"/>
      <c r="F419" s="75" t="n"/>
      <c r="G419" s="75" t="n"/>
      <c r="H419" s="40" t="n"/>
      <c r="I419" s="40" t="n"/>
      <c r="J419" s="4" t="n"/>
      <c r="K419" s="19" t="n"/>
      <c r="L419" s="19" t="n"/>
      <c r="M419" s="19" t="n"/>
      <c r="N419" s="2" t="n"/>
      <c r="O419" s="2" t="n"/>
      <c r="P419" s="2" t="n"/>
      <c r="Q419" s="2" t="n"/>
      <c r="R419" s="28" t="n"/>
      <c r="S419" s="28" t="n"/>
      <c r="T419" s="29" t="n"/>
    </row>
    <row r="420" ht="30" customFormat="1" customHeight="1" s="5">
      <c r="A420" s="17" t="n"/>
      <c r="B420" s="17" t="n"/>
      <c r="C420" s="14" t="n"/>
      <c r="D420" s="14" t="n"/>
      <c r="E420" s="84" t="n"/>
      <c r="F420" s="75" t="n"/>
      <c r="G420" s="75" t="n"/>
      <c r="H420" s="40" t="n"/>
      <c r="I420" s="40" t="n"/>
      <c r="J420" s="4" t="n"/>
      <c r="K420" s="19" t="n"/>
      <c r="L420" s="19" t="n"/>
      <c r="M420" s="19" t="n"/>
      <c r="N420" s="2" t="n"/>
      <c r="O420" s="2" t="n"/>
      <c r="P420" s="2" t="n"/>
      <c r="Q420" s="2" t="n"/>
      <c r="R420" s="28" t="n"/>
      <c r="S420" s="28" t="n"/>
      <c r="T420" s="29" t="n"/>
    </row>
    <row r="421" ht="30" customFormat="1" customHeight="1" s="5">
      <c r="A421" s="17" t="n"/>
      <c r="B421" s="17" t="n"/>
      <c r="C421" s="14" t="n"/>
      <c r="D421" s="14" t="n"/>
      <c r="E421" s="84" t="n"/>
      <c r="F421" s="75" t="n"/>
      <c r="G421" s="75" t="n"/>
      <c r="H421" s="40" t="n"/>
      <c r="I421" s="40" t="n"/>
      <c r="J421" s="4" t="n"/>
      <c r="K421" s="19" t="n"/>
      <c r="L421" s="19" t="n"/>
      <c r="M421" s="19" t="n"/>
      <c r="N421" s="2" t="n"/>
      <c r="O421" s="2" t="n"/>
      <c r="P421" s="2" t="n"/>
      <c r="Q421" s="2" t="n"/>
      <c r="R421" s="28" t="n"/>
      <c r="S421" s="28" t="n"/>
      <c r="T421" s="29" t="n"/>
    </row>
    <row r="422" ht="30" customFormat="1" customHeight="1" s="5">
      <c r="A422" s="17" t="n"/>
      <c r="B422" s="17" t="n"/>
      <c r="C422" s="14" t="n"/>
      <c r="D422" s="14" t="n"/>
      <c r="E422" s="84" t="n"/>
      <c r="F422" s="75" t="n"/>
      <c r="G422" s="75" t="n"/>
      <c r="H422" s="40" t="n"/>
      <c r="I422" s="40" t="n"/>
      <c r="J422" s="4" t="n"/>
      <c r="K422" s="19" t="n"/>
      <c r="L422" s="19" t="n"/>
      <c r="M422" s="19" t="n"/>
      <c r="N422" s="2" t="n"/>
      <c r="O422" s="2" t="n"/>
      <c r="P422" s="2" t="n"/>
      <c r="Q422" s="2" t="n"/>
      <c r="R422" s="28" t="n"/>
      <c r="S422" s="28" t="n"/>
      <c r="T422" s="29" t="n"/>
    </row>
    <row r="423" ht="30" customFormat="1" customHeight="1" s="5">
      <c r="A423" s="17" t="n"/>
      <c r="B423" s="17" t="n"/>
      <c r="C423" s="14" t="n"/>
      <c r="D423" s="14" t="n"/>
      <c r="E423" s="84" t="n"/>
      <c r="F423" s="75" t="n"/>
      <c r="G423" s="75" t="n"/>
      <c r="H423" s="40" t="n"/>
      <c r="I423" s="40" t="n"/>
      <c r="J423" s="4" t="n"/>
      <c r="K423" s="19" t="n"/>
      <c r="L423" s="19" t="n"/>
      <c r="M423" s="19" t="n"/>
      <c r="N423" s="2" t="n"/>
      <c r="O423" s="2" t="n"/>
      <c r="P423" s="2" t="n"/>
      <c r="Q423" s="2" t="n"/>
      <c r="R423" s="28" t="n"/>
      <c r="S423" s="28" t="n"/>
      <c r="T423" s="29" t="n"/>
    </row>
    <row r="424" ht="30" customFormat="1" customHeight="1" s="5">
      <c r="A424" s="17" t="n"/>
      <c r="B424" s="17" t="n"/>
      <c r="C424" s="14" t="n"/>
      <c r="D424" s="14" t="n"/>
      <c r="E424" s="84" t="n"/>
      <c r="F424" s="75" t="n"/>
      <c r="G424" s="75" t="n"/>
      <c r="H424" s="40" t="n"/>
      <c r="I424" s="40" t="n"/>
      <c r="J424" s="4" t="n"/>
      <c r="K424" s="19" t="n"/>
      <c r="L424" s="19" t="n"/>
      <c r="M424" s="19" t="n"/>
      <c r="N424" s="2" t="n"/>
      <c r="O424" s="2" t="n"/>
      <c r="P424" s="2" t="n"/>
      <c r="Q424" s="2" t="n"/>
      <c r="R424" s="28" t="n"/>
      <c r="S424" s="28" t="n"/>
      <c r="T424" s="29" t="n"/>
    </row>
    <row r="425" ht="30" customFormat="1" customHeight="1" s="5">
      <c r="A425" s="17" t="n"/>
      <c r="B425" s="17" t="n"/>
      <c r="C425" s="14" t="n"/>
      <c r="D425" s="14" t="n"/>
      <c r="E425" s="84" t="n"/>
      <c r="F425" s="75" t="n"/>
      <c r="G425" s="75" t="n"/>
      <c r="H425" s="40" t="n"/>
      <c r="I425" s="40" t="n"/>
      <c r="J425" s="4" t="n"/>
      <c r="K425" s="19" t="n"/>
      <c r="L425" s="19" t="n"/>
      <c r="M425" s="19" t="n"/>
      <c r="N425" s="2" t="n"/>
      <c r="O425" s="2" t="n"/>
      <c r="P425" s="2" t="n"/>
      <c r="Q425" s="2" t="n"/>
      <c r="R425" s="28" t="n"/>
      <c r="S425" s="28" t="n"/>
      <c r="T425" s="29" t="n"/>
    </row>
    <row r="426" ht="30" customFormat="1" customHeight="1" s="5">
      <c r="A426" s="17" t="n"/>
      <c r="B426" s="17" t="n"/>
      <c r="C426" s="14" t="n"/>
      <c r="D426" s="14" t="n"/>
      <c r="E426" s="84" t="n"/>
      <c r="F426" s="75" t="n"/>
      <c r="G426" s="75" t="n"/>
      <c r="H426" s="40" t="n"/>
      <c r="I426" s="40" t="n"/>
      <c r="J426" s="4" t="n"/>
      <c r="K426" s="19" t="n"/>
      <c r="L426" s="19" t="n"/>
      <c r="M426" s="19" t="n"/>
      <c r="N426" s="2" t="n"/>
      <c r="O426" s="2" t="n"/>
      <c r="P426" s="2" t="n"/>
      <c r="Q426" s="2" t="n"/>
      <c r="R426" s="28" t="n"/>
      <c r="S426" s="28" t="n"/>
      <c r="T426" s="29" t="n"/>
    </row>
    <row r="427" ht="30" customFormat="1" customHeight="1" s="5">
      <c r="A427" s="17" t="n"/>
      <c r="B427" s="17" t="n"/>
      <c r="C427" s="14" t="n"/>
      <c r="D427" s="14" t="n"/>
      <c r="E427" s="84" t="n"/>
      <c r="F427" s="75" t="n"/>
      <c r="G427" s="75" t="n"/>
      <c r="H427" s="40" t="n"/>
      <c r="I427" s="40" t="n"/>
      <c r="J427" s="4" t="n"/>
      <c r="K427" s="19" t="n"/>
      <c r="L427" s="19" t="n"/>
      <c r="M427" s="19" t="n"/>
      <c r="N427" s="2" t="n"/>
      <c r="O427" s="2" t="n"/>
      <c r="P427" s="2" t="n"/>
      <c r="Q427" s="2" t="n"/>
      <c r="R427" s="28" t="n"/>
      <c r="S427" s="28" t="n"/>
      <c r="T427" s="29" t="n"/>
    </row>
    <row r="428" ht="30" customFormat="1" customHeight="1" s="5">
      <c r="A428" s="17" t="n"/>
      <c r="B428" s="17" t="n"/>
      <c r="C428" s="14" t="n"/>
      <c r="D428" s="14" t="n"/>
      <c r="E428" s="84" t="n"/>
      <c r="F428" s="75" t="n"/>
      <c r="G428" s="75" t="n"/>
      <c r="H428" s="40" t="n"/>
      <c r="I428" s="40" t="n"/>
      <c r="J428" s="4" t="n"/>
      <c r="K428" s="19" t="n"/>
      <c r="L428" s="19" t="n"/>
      <c r="M428" s="19" t="n"/>
      <c r="N428" s="2" t="n"/>
      <c r="O428" s="2" t="n"/>
      <c r="P428" s="2" t="n"/>
      <c r="Q428" s="2" t="n"/>
      <c r="R428" s="28" t="n"/>
      <c r="S428" s="28" t="n"/>
      <c r="T428" s="29" t="n"/>
    </row>
    <row r="429" ht="30" customFormat="1" customHeight="1" s="5">
      <c r="A429" s="17" t="n"/>
      <c r="B429" s="17" t="n"/>
      <c r="C429" s="14" t="n"/>
      <c r="D429" s="14" t="n"/>
      <c r="E429" s="84" t="n"/>
      <c r="F429" s="75" t="n"/>
      <c r="G429" s="75" t="n"/>
      <c r="H429" s="40" t="n"/>
      <c r="I429" s="40" t="n"/>
      <c r="J429" s="4" t="n"/>
      <c r="K429" s="19" t="n"/>
      <c r="L429" s="19" t="n"/>
      <c r="M429" s="19" t="n"/>
      <c r="N429" s="2" t="n"/>
      <c r="O429" s="2" t="n"/>
      <c r="P429" s="2" t="n"/>
      <c r="Q429" s="2" t="n"/>
      <c r="R429" s="28" t="n"/>
      <c r="S429" s="28" t="n"/>
      <c r="T429" s="29" t="n"/>
    </row>
    <row r="430" ht="30" customFormat="1" customHeight="1" s="5">
      <c r="A430" s="17" t="n"/>
      <c r="B430" s="17" t="n"/>
      <c r="C430" s="14" t="n"/>
      <c r="D430" s="14" t="n"/>
      <c r="E430" s="84" t="n"/>
      <c r="F430" s="75" t="n"/>
      <c r="G430" s="75" t="n"/>
      <c r="H430" s="40" t="n"/>
      <c r="I430" s="40" t="n"/>
      <c r="J430" s="4" t="n"/>
      <c r="K430" s="19" t="n"/>
      <c r="L430" s="19" t="n"/>
      <c r="M430" s="19" t="n"/>
      <c r="N430" s="2" t="n"/>
      <c r="O430" s="2" t="n"/>
      <c r="P430" s="2" t="n"/>
      <c r="Q430" s="2" t="n"/>
      <c r="R430" s="28" t="n"/>
      <c r="S430" s="28" t="n"/>
      <c r="T430" s="29" t="n"/>
    </row>
    <row r="431" ht="30" customFormat="1" customHeight="1" s="5">
      <c r="A431" s="17" t="n"/>
      <c r="B431" s="17" t="n"/>
      <c r="C431" s="14" t="n"/>
      <c r="D431" s="14" t="n"/>
      <c r="E431" s="84" t="n"/>
      <c r="F431" s="75" t="n"/>
      <c r="G431" s="75" t="n"/>
      <c r="H431" s="40" t="n"/>
      <c r="I431" s="40" t="n"/>
      <c r="J431" s="4" t="n"/>
      <c r="K431" s="19" t="n"/>
      <c r="L431" s="19" t="n"/>
      <c r="M431" s="19" t="n"/>
      <c r="N431" s="2" t="n"/>
      <c r="O431" s="2" t="n"/>
      <c r="P431" s="2" t="n"/>
      <c r="Q431" s="2" t="n"/>
      <c r="R431" s="28" t="n"/>
      <c r="S431" s="28" t="n"/>
      <c r="T431" s="29" t="n"/>
    </row>
    <row r="432" ht="30" customFormat="1" customHeight="1" s="5">
      <c r="A432" s="17" t="n"/>
      <c r="B432" s="17" t="n"/>
      <c r="C432" s="14" t="n"/>
      <c r="D432" s="14" t="n"/>
      <c r="E432" s="84" t="n"/>
      <c r="F432" s="75" t="n"/>
      <c r="G432" s="75" t="n"/>
      <c r="H432" s="40" t="n"/>
      <c r="I432" s="40" t="n"/>
      <c r="J432" s="4" t="n"/>
      <c r="K432" s="19" t="n"/>
      <c r="L432" s="19" t="n"/>
      <c r="M432" s="19" t="n"/>
      <c r="N432" s="2" t="n"/>
      <c r="O432" s="2" t="n"/>
      <c r="P432" s="2" t="n"/>
      <c r="Q432" s="2" t="n"/>
      <c r="R432" s="28" t="n"/>
      <c r="S432" s="28" t="n"/>
      <c r="T432" s="29" t="n"/>
    </row>
    <row r="433" ht="30" customFormat="1" customHeight="1" s="5">
      <c r="A433" s="17" t="n"/>
      <c r="B433" s="17" t="n"/>
      <c r="C433" s="14" t="n"/>
      <c r="D433" s="14" t="n"/>
      <c r="E433" s="84" t="n"/>
      <c r="F433" s="75" t="n"/>
      <c r="G433" s="75" t="n"/>
      <c r="H433" s="40" t="n"/>
      <c r="I433" s="40" t="n"/>
      <c r="J433" s="4" t="n"/>
      <c r="K433" s="19" t="n"/>
      <c r="L433" s="19" t="n"/>
      <c r="M433" s="19" t="n"/>
      <c r="N433" s="2" t="n"/>
      <c r="O433" s="2" t="n"/>
      <c r="P433" s="2" t="n"/>
      <c r="Q433" s="2" t="n"/>
      <c r="R433" s="28" t="n"/>
      <c r="S433" s="28" t="n"/>
      <c r="T433" s="29" t="n"/>
    </row>
    <row r="434" ht="30" customFormat="1" customHeight="1" s="5">
      <c r="A434" s="17" t="n"/>
      <c r="B434" s="17" t="n"/>
      <c r="C434" s="14" t="n"/>
      <c r="D434" s="14" t="n"/>
      <c r="E434" s="84" t="n"/>
      <c r="F434" s="75" t="n"/>
      <c r="G434" s="75" t="n"/>
      <c r="H434" s="40" t="n"/>
      <c r="I434" s="40" t="n"/>
      <c r="J434" s="4" t="n"/>
      <c r="K434" s="19" t="n"/>
      <c r="L434" s="19" t="n"/>
      <c r="M434" s="19" t="n"/>
      <c r="N434" s="2" t="n"/>
      <c r="O434" s="2" t="n"/>
      <c r="P434" s="2" t="n"/>
      <c r="Q434" s="2" t="n"/>
      <c r="R434" s="28" t="n"/>
      <c r="S434" s="28" t="n"/>
      <c r="T434" s="29" t="n"/>
    </row>
    <row r="435" ht="30" customFormat="1" customHeight="1" s="5">
      <c r="A435" s="17" t="n"/>
      <c r="B435" s="17" t="n"/>
      <c r="C435" s="14" t="n"/>
      <c r="D435" s="14" t="n"/>
      <c r="E435" s="84" t="n"/>
      <c r="F435" s="75" t="n"/>
      <c r="G435" s="75" t="n"/>
      <c r="H435" s="40" t="n"/>
      <c r="I435" s="40" t="n"/>
      <c r="J435" s="4" t="n"/>
      <c r="K435" s="19" t="n"/>
      <c r="L435" s="19" t="n"/>
      <c r="M435" s="19" t="n"/>
      <c r="N435" s="2" t="n"/>
      <c r="O435" s="2" t="n"/>
      <c r="P435" s="2" t="n"/>
      <c r="Q435" s="2" t="n"/>
      <c r="R435" s="28" t="n"/>
      <c r="S435" s="28" t="n"/>
      <c r="T435" s="29" t="n"/>
    </row>
  </sheetData>
  <autoFilter ref="A2:T379"/>
  <conditionalFormatting sqref="A3:A435">
    <cfRule type="expression" priority="10" dxfId="1">
      <formula>N3="Calibrated"</formula>
    </cfRule>
  </conditionalFormatting>
  <conditionalFormatting sqref="B3:B373 B380:B435">
    <cfRule type="expression" priority="6" dxfId="1">
      <formula>N3="Calibrated"</formula>
    </cfRule>
  </conditionalFormatting>
  <conditionalFormatting sqref="B374:Q377">
    <cfRule type="expression" priority="1" dxfId="1">
      <formula>$N374="Calibrated"</formula>
    </cfRule>
  </conditionalFormatting>
  <conditionalFormatting sqref="B378:Q379">
    <cfRule type="expression" priority="3" dxfId="1">
      <formula>$N378="Calibrated"</formula>
    </cfRule>
  </conditionalFormatting>
  <conditionalFormatting sqref="C3:C17 C22:C38 C40:C345">
    <cfRule type="duplicateValues" priority="18" dxfId="0"/>
  </conditionalFormatting>
  <conditionalFormatting sqref="C3:C17 C22:C38">
    <cfRule type="expression" priority="20" dxfId="1">
      <formula>N3="Calibrated"</formula>
    </cfRule>
  </conditionalFormatting>
  <conditionalFormatting sqref="C18:C21">
    <cfRule type="duplicateValues" priority="16" dxfId="0"/>
    <cfRule type="expression" priority="17" dxfId="1">
      <formula>N18="Calibrated"</formula>
    </cfRule>
  </conditionalFormatting>
  <conditionalFormatting sqref="C39">
    <cfRule type="duplicateValues" priority="7" dxfId="0"/>
    <cfRule type="expression" priority="9" dxfId="1">
      <formula>N39="Calibrated"</formula>
    </cfRule>
  </conditionalFormatting>
  <conditionalFormatting sqref="C40:C345">
    <cfRule type="expression" priority="19" dxfId="1">
      <formula>N40="Calibrated"</formula>
    </cfRule>
  </conditionalFormatting>
  <conditionalFormatting sqref="C346:C373">
    <cfRule type="duplicateValues" priority="13" dxfId="0"/>
    <cfRule type="expression" priority="14" dxfId="1">
      <formula>N346="Calibrated"</formula>
    </cfRule>
  </conditionalFormatting>
  <conditionalFormatting sqref="C374:C379 M374:M379">
    <cfRule type="duplicateValues" priority="2" dxfId="0"/>
  </conditionalFormatting>
  <conditionalFormatting sqref="C380:C435">
    <cfRule type="duplicateValues" priority="22" dxfId="0"/>
    <cfRule type="expression" priority="23" dxfId="1">
      <formula>N380="Calibrated"</formula>
    </cfRule>
  </conditionalFormatting>
  <conditionalFormatting sqref="C1:C2 C436:C1048576">
    <cfRule type="duplicateValues" priority="25" dxfId="0"/>
  </conditionalFormatting>
  <conditionalFormatting sqref="D3:D373 D380:D435">
    <cfRule type="expression" priority="8" dxfId="1">
      <formula>N3="Calibrated"</formula>
    </cfRule>
  </conditionalFormatting>
  <conditionalFormatting sqref="E3:E373 E380:E435">
    <cfRule type="expression" priority="4" dxfId="1">
      <formula>N3="Calibrated"</formula>
    </cfRule>
  </conditionalFormatting>
  <conditionalFormatting sqref="M3:M38 M40:M266 M268:M345">
    <cfRule type="duplicateValues" priority="15" dxfId="0"/>
  </conditionalFormatting>
  <conditionalFormatting sqref="M39">
    <cfRule type="duplicateValues" priority="5" dxfId="0"/>
  </conditionalFormatting>
  <conditionalFormatting sqref="M267">
    <cfRule type="duplicateValues" priority="11" dxfId="0"/>
  </conditionalFormatting>
  <conditionalFormatting sqref="M346:M373">
    <cfRule type="duplicateValues" priority="12" dxfId="0"/>
  </conditionalFormatting>
  <conditionalFormatting sqref="M380:M435">
    <cfRule type="duplicateValues" priority="21" dxfId="0"/>
  </conditionalFormatting>
  <conditionalFormatting sqref="M1:M2 M436:M1048576">
    <cfRule type="duplicateValues" priority="24" dxfId="0"/>
  </conditionalFormatting>
  <pageMargins left="0.25" right="0.01197916666666667" top="0.75" bottom="0.75" header="0.3" footer="0.3"/>
  <pageSetup orientation="landscape" paperSize="9" scale="41" fitToHeight="0"/>
  <headerFooter>
    <oddHeader/>
    <oddFooter>&amp;C&amp;"Calibri"&amp;10 &amp;K008000_x000d_# NOMAC | Public</oddFooter>
    <evenHeader/>
    <evenFooter/>
    <firstHeader/>
    <firstFooter/>
  </headerFooter>
  <rowBreaks count="10" manualBreakCount="10">
    <brk id="32" min="0" max="16383" man="1"/>
    <brk id="62" min="0" max="16383" man="1"/>
    <brk id="92" min="0" max="16383" man="1"/>
    <brk id="122" min="0" max="19" man="1"/>
    <brk id="159" min="0" max="19" man="1"/>
    <brk id="192" min="0" max="19" man="1"/>
    <brk id="223" min="0" max="19" man="1"/>
    <brk id="255" min="0" max="19" man="1"/>
    <brk id="285" min="0" max="19" man="1"/>
    <brk id="315" min="0" max="19" man="1"/>
  </rowBreaks>
</worksheet>
</file>

<file path=xl/worksheets/sheet7.xml><?xml version="1.0" encoding="utf-8"?>
<worksheet xmlns="http://schemas.openxmlformats.org/spreadsheetml/2006/main">
  <sheetPr codeName="Sheet8">
    <outlinePr summaryBelow="1" summaryRight="1"/>
    <pageSetUpPr fitToPage="1"/>
  </sheetPr>
  <dimension ref="A1:T433"/>
  <sheetViews>
    <sheetView view="pageBreakPreview" zoomScale="80" zoomScaleNormal="115" zoomScaleSheetLayoutView="80" zoomScalePageLayoutView="70" workbookViewId="0">
      <pane ySplit="1" topLeftCell="A2" activePane="bottomLeft" state="frozen"/>
      <selection pane="bottomLeft" activeCell="E16" sqref="E16"/>
    </sheetView>
  </sheetViews>
  <sheetFormatPr baseColWidth="8" defaultRowHeight="15"/>
  <cols>
    <col width="6.7109375" customWidth="1" min="1" max="1"/>
    <col width="8.5703125" customWidth="1" min="2" max="2"/>
    <col width="20.7109375" customWidth="1" style="5" min="3" max="3"/>
    <col width="47.140625" bestFit="1" customWidth="1" style="35" min="4" max="4"/>
    <col width="12.5703125" customWidth="1" style="85" min="5" max="5"/>
    <col width="12.7109375" customWidth="1" style="36" min="6" max="9"/>
    <col width="12.7109375" customWidth="1" style="35" min="10" max="10"/>
    <col width="16.5703125" bestFit="1" customWidth="1" style="36" min="11" max="11"/>
    <col width="12.7109375" customWidth="1" style="36" min="12" max="12"/>
    <col width="12.7109375" customWidth="1" style="35" min="13" max="14"/>
    <col width="12.7109375" customWidth="1" min="15" max="15"/>
    <col width="8.7109375" customWidth="1" min="16" max="16"/>
    <col width="8.7109375" customWidth="1" style="36" min="17" max="17"/>
    <col width="30.42578125" customWidth="1" style="36" min="18" max="18"/>
    <col width="20.7109375" customWidth="1" style="36" min="19" max="19"/>
    <col width="53.7109375" customWidth="1" style="35" min="20" max="20"/>
  </cols>
  <sheetData>
    <row r="1" ht="15.75" customFormat="1" customHeight="1" s="5" thickBot="1">
      <c r="C1" s="5" t="n">
        <v>1</v>
      </c>
      <c r="D1" s="5" t="n">
        <v>2</v>
      </c>
      <c r="E1" s="5" t="n">
        <v>3</v>
      </c>
      <c r="F1" s="5" t="n">
        <v>4</v>
      </c>
      <c r="G1" s="5" t="n">
        <v>5</v>
      </c>
      <c r="H1" s="5" t="n">
        <v>6</v>
      </c>
      <c r="I1" s="5" t="n">
        <v>7</v>
      </c>
      <c r="J1" s="5" t="n">
        <v>8</v>
      </c>
      <c r="K1" s="5" t="n">
        <v>9</v>
      </c>
      <c r="L1" s="5" t="n">
        <v>10</v>
      </c>
      <c r="M1" s="5" t="n">
        <v>11</v>
      </c>
      <c r="N1" s="5" t="n">
        <v>12</v>
      </c>
      <c r="O1" s="5" t="n">
        <v>13</v>
      </c>
      <c r="P1" s="5" t="n">
        <v>14</v>
      </c>
      <c r="Q1" s="5" t="n">
        <v>15</v>
      </c>
      <c r="R1" s="5" t="n">
        <v>16</v>
      </c>
      <c r="S1" s="5" t="n">
        <v>17</v>
      </c>
      <c r="T1" s="5" t="n">
        <v>18</v>
      </c>
    </row>
    <row r="2" ht="47.25" customHeight="1">
      <c r="A2" s="7" t="inlineStr">
        <is>
          <t>No</t>
        </is>
      </c>
      <c r="B2" s="83" t="inlineStr">
        <is>
          <t>Group</t>
        </is>
      </c>
      <c r="C2" s="23" t="inlineStr">
        <is>
          <t>Functional
Location</t>
        </is>
      </c>
      <c r="D2" s="9" t="inlineStr">
        <is>
          <t>Description</t>
        </is>
      </c>
      <c r="E2" s="10" t="inlineStr">
        <is>
          <t>Calibration
Date</t>
        </is>
      </c>
      <c r="F2" s="10" t="inlineStr">
        <is>
          <t>Sensor
LRV</t>
        </is>
      </c>
      <c r="G2" s="10" t="inlineStr">
        <is>
          <t>Sensor
URV</t>
        </is>
      </c>
      <c r="H2" s="10" t="inlineStr">
        <is>
          <t>Calibrated
LRV</t>
        </is>
      </c>
      <c r="I2" s="10" t="inlineStr">
        <is>
          <t>Calibrated
URV</t>
        </is>
      </c>
      <c r="J2" s="10" t="inlineStr">
        <is>
          <t>Unit</t>
        </is>
      </c>
      <c r="K2" s="10" t="inlineStr">
        <is>
          <t>Customer</t>
        </is>
      </c>
      <c r="L2" s="10" t="inlineStr">
        <is>
          <t>Sensor Model</t>
        </is>
      </c>
      <c r="M2" s="10" t="inlineStr">
        <is>
          <t>Tx
Serial No.</t>
        </is>
      </c>
      <c r="N2" s="11" t="inlineStr">
        <is>
          <t>Tx
Status</t>
        </is>
      </c>
      <c r="O2" s="12" t="inlineStr">
        <is>
          <t>SAP Ekipman Kodu</t>
        </is>
      </c>
      <c r="P2" s="6" t="inlineStr">
        <is>
          <t>Order Type</t>
        </is>
      </c>
      <c r="Q2" s="11" t="inlineStr">
        <is>
          <t>SAP
Status</t>
        </is>
      </c>
      <c r="R2" s="24" t="inlineStr">
        <is>
          <t>Full Model Number</t>
        </is>
      </c>
      <c r="S2" s="24" t="inlineStr">
        <is>
          <t>Panel KKS</t>
        </is>
      </c>
      <c r="T2" s="24" t="inlineStr">
        <is>
          <t>Comments</t>
        </is>
      </c>
    </row>
    <row r="3" ht="30" customFormat="1" customHeight="1" s="5">
      <c r="A3" s="17" t="n">
        <v>1</v>
      </c>
      <c r="B3" s="17" t="inlineStr">
        <is>
          <t>KIPP00</t>
        </is>
      </c>
      <c r="C3" s="2" t="inlineStr">
        <is>
          <t>00GHC01CP101</t>
        </is>
      </c>
      <c r="D3" s="14" t="inlineStr">
        <is>
          <t>DEMIN WATER PUMP-A SUCTION PRESS.</t>
        </is>
      </c>
      <c r="E3" s="37" t="n"/>
      <c r="F3" s="103" t="n">
        <v>-1</v>
      </c>
      <c r="G3" s="103" t="n">
        <v>20</v>
      </c>
      <c r="H3" s="103" t="n">
        <v>-1</v>
      </c>
      <c r="I3" s="103" t="n">
        <v>4</v>
      </c>
      <c r="J3" s="4" t="inlineStr">
        <is>
          <t>Bar</t>
        </is>
      </c>
      <c r="K3" s="33" t="inlineStr">
        <is>
          <t>YOKOGAWA</t>
        </is>
      </c>
      <c r="L3" s="33" t="inlineStr">
        <is>
          <t>EJA530E</t>
        </is>
      </c>
      <c r="M3" s="20" t="inlineStr">
        <is>
          <t>91S313262</t>
        </is>
      </c>
      <c r="N3" s="2">
        <f>IF(E3="","Waiting","Calibrated")</f>
        <v/>
      </c>
      <c r="O3" s="2" t="n"/>
      <c r="P3" s="2" t="inlineStr">
        <is>
          <t>ZM06</t>
        </is>
      </c>
      <c r="Q3" s="2" t="n"/>
      <c r="R3" s="28" t="n"/>
      <c r="S3" s="28" t="n"/>
      <c r="T3" s="32" t="n"/>
    </row>
    <row r="4" ht="30" customFormat="1" customHeight="1" s="5">
      <c r="A4" s="17" t="n">
        <v>2</v>
      </c>
      <c r="B4" s="17" t="inlineStr">
        <is>
          <t>KIPP00</t>
        </is>
      </c>
      <c r="C4" s="2" t="inlineStr">
        <is>
          <t>00GHC01CP102</t>
        </is>
      </c>
      <c r="D4" s="14" t="inlineStr">
        <is>
          <t>DEMIN WATER PUMP-A SUCTION FILTER DP</t>
        </is>
      </c>
      <c r="E4" s="37" t="n"/>
      <c r="F4" s="103" t="n">
        <v>-5000</v>
      </c>
      <c r="G4" s="103" t="n">
        <v>5000</v>
      </c>
      <c r="H4" s="103" t="n">
        <v>0</v>
      </c>
      <c r="I4" s="103" t="n">
        <v>1500</v>
      </c>
      <c r="J4" s="4" t="inlineStr">
        <is>
          <t>mBar</t>
        </is>
      </c>
      <c r="K4" s="33" t="inlineStr">
        <is>
          <t>YOKOGAWA</t>
        </is>
      </c>
      <c r="L4" s="33" t="inlineStr">
        <is>
          <t>EJA110E</t>
        </is>
      </c>
      <c r="M4" s="20" t="inlineStr">
        <is>
          <t>91S313090</t>
        </is>
      </c>
      <c r="N4" s="2">
        <f>IF(E4="","Waiting","Calibrated")</f>
        <v/>
      </c>
      <c r="O4" s="2" t="n"/>
      <c r="P4" s="2" t="inlineStr">
        <is>
          <t>ZM06</t>
        </is>
      </c>
      <c r="Q4" s="2" t="n"/>
      <c r="R4" s="28" t="n"/>
      <c r="S4" s="28" t="n"/>
      <c r="T4" s="32" t="n"/>
    </row>
    <row r="5" ht="30" customFormat="1" customHeight="1" s="5">
      <c r="A5" s="17" t="n">
        <v>3</v>
      </c>
      <c r="B5" s="17" t="inlineStr">
        <is>
          <t>KIPP00</t>
        </is>
      </c>
      <c r="C5" s="2" t="inlineStr">
        <is>
          <t>00GHC02CP101</t>
        </is>
      </c>
      <c r="D5" s="14" t="inlineStr">
        <is>
          <t>DEMIN WATER PUMP-B SUCTION PRESS.</t>
        </is>
      </c>
      <c r="E5" s="37" t="n"/>
      <c r="F5" s="103" t="n">
        <v>-1</v>
      </c>
      <c r="G5" s="103" t="n">
        <v>20</v>
      </c>
      <c r="H5" s="103" t="n">
        <v>-1</v>
      </c>
      <c r="I5" s="103" t="n">
        <v>4</v>
      </c>
      <c r="J5" s="4" t="inlineStr">
        <is>
          <t>Bar</t>
        </is>
      </c>
      <c r="K5" s="33" t="inlineStr">
        <is>
          <t>YOKOGAWA</t>
        </is>
      </c>
      <c r="L5" s="33" t="inlineStr">
        <is>
          <t>EJA530E</t>
        </is>
      </c>
      <c r="M5" s="20" t="inlineStr">
        <is>
          <t>91S313263</t>
        </is>
      </c>
      <c r="N5" s="2">
        <f>IF(E5="","Waiting","Calibrated")</f>
        <v/>
      </c>
      <c r="O5" s="2" t="n"/>
      <c r="P5" s="2" t="inlineStr">
        <is>
          <t>ZM06</t>
        </is>
      </c>
      <c r="Q5" s="2" t="n"/>
      <c r="R5" s="28" t="n"/>
      <c r="S5" s="28" t="inlineStr">
        <is>
          <t>10LAA00GH101</t>
        </is>
      </c>
      <c r="T5" s="32" t="inlineStr">
        <is>
          <t>Atm. Basıncı 0,935 Bar</t>
        </is>
      </c>
    </row>
    <row r="6" ht="30" customFormat="1" customHeight="1" s="5">
      <c r="A6" s="17" t="n">
        <v>4</v>
      </c>
      <c r="B6" s="17" t="inlineStr">
        <is>
          <t>KIPP00</t>
        </is>
      </c>
      <c r="C6" s="2" t="inlineStr">
        <is>
          <t>00GHC02CP102</t>
        </is>
      </c>
      <c r="D6" s="14" t="inlineStr">
        <is>
          <t>DEMIN WATER PUMP-B SUCTION FILTER DP</t>
        </is>
      </c>
      <c r="E6" s="37" t="n"/>
      <c r="F6" s="103" t="n">
        <v>-5000</v>
      </c>
      <c r="G6" s="103" t="n">
        <v>5000</v>
      </c>
      <c r="H6" s="103" t="n">
        <v>0</v>
      </c>
      <c r="I6" s="103" t="n">
        <v>1500</v>
      </c>
      <c r="J6" s="4" t="inlineStr">
        <is>
          <t>mBar</t>
        </is>
      </c>
      <c r="K6" s="33" t="inlineStr">
        <is>
          <t>YOKOGAWA</t>
        </is>
      </c>
      <c r="L6" s="33" t="inlineStr">
        <is>
          <t>EJA110E</t>
        </is>
      </c>
      <c r="M6" s="20" t="inlineStr">
        <is>
          <t>91S313091</t>
        </is>
      </c>
      <c r="N6" s="2">
        <f>IF(E6="","Waiting","Calibrated")</f>
        <v/>
      </c>
      <c r="O6" s="2" t="n"/>
      <c r="P6" s="2" t="inlineStr">
        <is>
          <t>ZM06</t>
        </is>
      </c>
      <c r="Q6" s="2" t="n"/>
      <c r="R6" s="28" t="n"/>
      <c r="S6" s="28" t="inlineStr">
        <is>
          <t>10LAA00GH101</t>
        </is>
      </c>
      <c r="T6" s="32" t="inlineStr">
        <is>
          <t>Atm. Basıncı 0,935 Bar</t>
        </is>
      </c>
    </row>
    <row r="7" ht="30" customFormat="1" customHeight="1" s="5">
      <c r="A7" s="17" t="n">
        <v>5</v>
      </c>
      <c r="B7" s="17" t="inlineStr">
        <is>
          <t>KIPP00</t>
        </is>
      </c>
      <c r="C7" s="2" t="inlineStr">
        <is>
          <t>00GHC03CP101</t>
        </is>
      </c>
      <c r="D7" s="14" t="inlineStr">
        <is>
          <t>DEMIN WATER PUMP-C SUCTION PRESS.</t>
        </is>
      </c>
      <c r="E7" s="37" t="n"/>
      <c r="F7" s="103" t="n">
        <v>-1</v>
      </c>
      <c r="G7" s="103" t="n">
        <v>20</v>
      </c>
      <c r="H7" s="103" t="n">
        <v>-1</v>
      </c>
      <c r="I7" s="103" t="n">
        <v>4</v>
      </c>
      <c r="J7" s="4" t="inlineStr">
        <is>
          <t>Bar</t>
        </is>
      </c>
      <c r="K7" s="33" t="inlineStr">
        <is>
          <t>YOKOGAWA</t>
        </is>
      </c>
      <c r="L7" s="33" t="inlineStr">
        <is>
          <t>EJA530E</t>
        </is>
      </c>
      <c r="M7" s="20" t="inlineStr">
        <is>
          <t>91S313264</t>
        </is>
      </c>
      <c r="N7" s="2">
        <f>IF(E7="","Waiting","Calibrated")</f>
        <v/>
      </c>
      <c r="O7" s="2" t="n"/>
      <c r="P7" s="2" t="inlineStr">
        <is>
          <t>ZM06</t>
        </is>
      </c>
      <c r="Q7" s="2" t="n"/>
      <c r="R7" s="28" t="n"/>
      <c r="S7" s="28" t="inlineStr">
        <is>
          <t>10LAA00GH101</t>
        </is>
      </c>
      <c r="T7" s="32" t="inlineStr">
        <is>
          <t>Atm. Basıncı 0,935 Bar</t>
        </is>
      </c>
    </row>
    <row r="8" ht="30" customFormat="1" customHeight="1" s="5">
      <c r="A8" s="17" t="n">
        <v>6</v>
      </c>
      <c r="B8" s="17" t="inlineStr">
        <is>
          <t>KIPP00</t>
        </is>
      </c>
      <c r="C8" s="2" t="inlineStr">
        <is>
          <t>00GHC03CP102</t>
        </is>
      </c>
      <c r="D8" s="14" t="inlineStr">
        <is>
          <t>DEMIN WATER PUMP-C SUCTION FILTER DP</t>
        </is>
      </c>
      <c r="E8" s="37" t="n"/>
      <c r="F8" s="103" t="n">
        <v>-5000</v>
      </c>
      <c r="G8" s="103" t="n">
        <v>5000</v>
      </c>
      <c r="H8" s="103" t="n">
        <v>0</v>
      </c>
      <c r="I8" s="103" t="n">
        <v>1500</v>
      </c>
      <c r="J8" s="4" t="inlineStr">
        <is>
          <t>mBar</t>
        </is>
      </c>
      <c r="K8" s="33" t="inlineStr">
        <is>
          <t>YOKOGAWA</t>
        </is>
      </c>
      <c r="L8" s="33" t="inlineStr">
        <is>
          <t>EJA110E</t>
        </is>
      </c>
      <c r="M8" s="20" t="inlineStr">
        <is>
          <t>91S313092</t>
        </is>
      </c>
      <c r="N8" s="2">
        <f>IF(E8="","Waiting","Calibrated")</f>
        <v/>
      </c>
      <c r="O8" s="2" t="n"/>
      <c r="P8" s="2" t="inlineStr">
        <is>
          <t>ZM06</t>
        </is>
      </c>
      <c r="Q8" s="2" t="n"/>
      <c r="R8" s="28" t="n"/>
      <c r="S8" s="28" t="inlineStr">
        <is>
          <t>10LAB01GH101</t>
        </is>
      </c>
      <c r="T8" s="32" t="n"/>
    </row>
    <row r="9" ht="30" customFormat="1" customHeight="1" s="5">
      <c r="A9" s="17" t="n">
        <v>7</v>
      </c>
      <c r="B9" s="17" t="inlineStr">
        <is>
          <t>KIPP00</t>
        </is>
      </c>
      <c r="C9" s="2" t="inlineStr">
        <is>
          <t>00GHC04CP101</t>
        </is>
      </c>
      <c r="D9" s="14" t="inlineStr">
        <is>
          <t xml:space="preserve">EMERGENCY M/U PUMP-A SUCTION PT </t>
        </is>
      </c>
      <c r="E9" s="37" t="n"/>
      <c r="F9" s="103" t="n">
        <v>-1</v>
      </c>
      <c r="G9" s="103" t="n">
        <v>100</v>
      </c>
      <c r="H9" s="103" t="n">
        <v>-1</v>
      </c>
      <c r="I9" s="103" t="n">
        <v>5</v>
      </c>
      <c r="J9" s="4" t="inlineStr">
        <is>
          <t>Bar</t>
        </is>
      </c>
      <c r="K9" s="33" t="inlineStr">
        <is>
          <t>YOKOGAWA</t>
        </is>
      </c>
      <c r="L9" s="33" t="inlineStr">
        <is>
          <t>EJA530E</t>
        </is>
      </c>
      <c r="M9" s="20" t="inlineStr">
        <is>
          <t>91S313216</t>
        </is>
      </c>
      <c r="N9" s="2">
        <f>IF(E9="","Waiting","Calibrated")</f>
        <v/>
      </c>
      <c r="O9" s="2" t="n"/>
      <c r="P9" s="2" t="inlineStr">
        <is>
          <t>ZM06</t>
        </is>
      </c>
      <c r="Q9" s="2" t="n"/>
      <c r="R9" s="28" t="n"/>
      <c r="S9" s="28" t="inlineStr">
        <is>
          <t>10LAB02GH101</t>
        </is>
      </c>
      <c r="T9" s="32" t="n"/>
    </row>
    <row r="10" ht="30" customFormat="1" customHeight="1" s="5">
      <c r="A10" s="17" t="n">
        <v>8</v>
      </c>
      <c r="B10" s="17" t="inlineStr">
        <is>
          <t>KIPP00</t>
        </is>
      </c>
      <c r="C10" s="2" t="inlineStr">
        <is>
          <t>00GHC04CP102</t>
        </is>
      </c>
      <c r="D10" s="14" t="inlineStr">
        <is>
          <t xml:space="preserve">EMERGENCY M/U PUMP-A SUCTION STRAINER DP </t>
        </is>
      </c>
      <c r="E10" s="37" t="n"/>
      <c r="F10" s="103" t="n">
        <v>-5000</v>
      </c>
      <c r="G10" s="103" t="n">
        <v>5000</v>
      </c>
      <c r="H10" s="103" t="n">
        <v>0</v>
      </c>
      <c r="I10" s="103" t="n">
        <v>1500</v>
      </c>
      <c r="J10" s="4" t="inlineStr">
        <is>
          <t>mBar</t>
        </is>
      </c>
      <c r="K10" s="33" t="inlineStr">
        <is>
          <t>YOKOGAWA</t>
        </is>
      </c>
      <c r="L10" s="33" t="inlineStr">
        <is>
          <t>EJA110E</t>
        </is>
      </c>
      <c r="M10" s="20" t="inlineStr">
        <is>
          <t>91S313106</t>
        </is>
      </c>
      <c r="N10" s="2">
        <f>IF(E10="","Waiting","Calibrated")</f>
        <v/>
      </c>
      <c r="O10" s="2" t="n"/>
      <c r="P10" s="2" t="inlineStr">
        <is>
          <t>ZM06</t>
        </is>
      </c>
      <c r="Q10" s="2" t="n"/>
      <c r="R10" s="28" t="n"/>
      <c r="S10" s="28" t="inlineStr">
        <is>
          <t>10LAB02GH101</t>
        </is>
      </c>
      <c r="T10" s="32" t="n"/>
    </row>
    <row r="11" ht="30" customFormat="1" customHeight="1" s="5">
      <c r="A11" s="17" t="n">
        <v>9</v>
      </c>
      <c r="B11" s="17" t="inlineStr">
        <is>
          <t>KIPP00</t>
        </is>
      </c>
      <c r="C11" s="2" t="inlineStr">
        <is>
          <t>00GHC05CP101</t>
        </is>
      </c>
      <c r="D11" s="14" t="inlineStr">
        <is>
          <t xml:space="preserve">EMERGENCY M/U PUMP-B SUCTION PT </t>
        </is>
      </c>
      <c r="E11" s="37" t="n"/>
      <c r="F11" s="103" t="n">
        <v>-1</v>
      </c>
      <c r="G11" s="103" t="n">
        <v>100</v>
      </c>
      <c r="H11" s="103" t="n">
        <v>-1</v>
      </c>
      <c r="I11" s="103" t="n">
        <v>5</v>
      </c>
      <c r="J11" s="4" t="inlineStr">
        <is>
          <t>Bar</t>
        </is>
      </c>
      <c r="K11" s="33" t="inlineStr">
        <is>
          <t>YOKOGAWA</t>
        </is>
      </c>
      <c r="L11" s="33" t="inlineStr">
        <is>
          <t>EJA530E</t>
        </is>
      </c>
      <c r="M11" s="20" t="inlineStr">
        <is>
          <t>91S313214</t>
        </is>
      </c>
      <c r="N11" s="2">
        <f>IF(E11="","Waiting","Calibrated")</f>
        <v/>
      </c>
      <c r="O11" s="2" t="n"/>
      <c r="P11" s="2" t="inlineStr">
        <is>
          <t>ZM06</t>
        </is>
      </c>
      <c r="Q11" s="2" t="n"/>
      <c r="R11" s="28" t="n"/>
      <c r="S11" s="28" t="inlineStr">
        <is>
          <t>10LAB06GH101</t>
        </is>
      </c>
      <c r="T11" s="32" t="n"/>
    </row>
    <row r="12" ht="30" customFormat="1" customHeight="1" s="5">
      <c r="A12" s="17" t="n">
        <v>10</v>
      </c>
      <c r="B12" s="17" t="inlineStr">
        <is>
          <t>KIPP00</t>
        </is>
      </c>
      <c r="C12" s="2" t="inlineStr">
        <is>
          <t>00GHC05CP102</t>
        </is>
      </c>
      <c r="D12" s="14" t="inlineStr">
        <is>
          <t xml:space="preserve">EMERGENCY M/U PUMP-B SUCTION STRAINER DP </t>
        </is>
      </c>
      <c r="E12" s="37" t="n"/>
      <c r="F12" s="103" t="n">
        <v>-5000</v>
      </c>
      <c r="G12" s="103" t="n">
        <v>5000</v>
      </c>
      <c r="H12" s="103" t="n">
        <v>0</v>
      </c>
      <c r="I12" s="103" t="n">
        <v>1500</v>
      </c>
      <c r="J12" s="4" t="inlineStr">
        <is>
          <t>mBar</t>
        </is>
      </c>
      <c r="K12" s="33" t="inlineStr">
        <is>
          <t>YOKOGAWA</t>
        </is>
      </c>
      <c r="L12" s="33" t="inlineStr">
        <is>
          <t>EJA110E</t>
        </is>
      </c>
      <c r="M12" s="20" t="inlineStr">
        <is>
          <t>91S313105</t>
        </is>
      </c>
      <c r="N12" s="2">
        <f>IF(E12="","Waiting","Calibrated")</f>
        <v/>
      </c>
      <c r="O12" s="2" t="n"/>
      <c r="P12" s="2" t="inlineStr">
        <is>
          <t>ZM06</t>
        </is>
      </c>
      <c r="Q12" s="2" t="n"/>
      <c r="R12" s="28" t="n"/>
      <c r="S12" s="28" t="inlineStr">
        <is>
          <t>10LAB06GH101</t>
        </is>
      </c>
      <c r="T12" s="32" t="n"/>
    </row>
    <row r="13" ht="30" customFormat="1" customHeight="1" s="5">
      <c r="A13" s="17" t="n">
        <v>11</v>
      </c>
      <c r="B13" s="17" t="inlineStr">
        <is>
          <t>KIPP00</t>
        </is>
      </c>
      <c r="C13" s="2" t="inlineStr">
        <is>
          <t>00GHC10CP101</t>
        </is>
      </c>
      <c r="D13" s="14" t="inlineStr">
        <is>
          <t>DEMIN. WATER SUPPLY PUMP DISC. PRESS. A</t>
        </is>
      </c>
      <c r="E13" s="37" t="n">
        <v>46051</v>
      </c>
      <c r="F13" s="103" t="n">
        <v>-1</v>
      </c>
      <c r="G13" s="103" t="n">
        <v>20</v>
      </c>
      <c r="H13" s="103" t="n">
        <v>0</v>
      </c>
      <c r="I13" s="103" t="n">
        <v>15</v>
      </c>
      <c r="J13" s="4" t="inlineStr">
        <is>
          <t>Bar</t>
        </is>
      </c>
      <c r="K13" s="19" t="inlineStr">
        <is>
          <t>YOKOGAWA</t>
        </is>
      </c>
      <c r="L13" s="19" t="inlineStr">
        <is>
          <t>EJA530E</t>
        </is>
      </c>
      <c r="M13" s="19" t="inlineStr">
        <is>
          <t>91S313246</t>
        </is>
      </c>
      <c r="N13" s="2">
        <f>IF(E13="","Waiting","Calibrated")</f>
        <v/>
      </c>
      <c r="O13" s="2" t="n"/>
      <c r="P13" s="2" t="inlineStr">
        <is>
          <t>ZM06</t>
        </is>
      </c>
      <c r="Q13" s="2" t="n"/>
      <c r="R13" s="28" t="n"/>
      <c r="S13" s="28" t="inlineStr">
        <is>
          <t>10LAB06GH101</t>
        </is>
      </c>
      <c r="T13" s="32" t="n"/>
    </row>
    <row r="14" ht="30" customFormat="1" customHeight="1" s="5">
      <c r="A14" s="17" t="n">
        <v>12</v>
      </c>
      <c r="B14" s="17" t="inlineStr">
        <is>
          <t>KIPP00</t>
        </is>
      </c>
      <c r="C14" s="2" t="inlineStr">
        <is>
          <t>00GHC10CP102</t>
        </is>
      </c>
      <c r="D14" s="14" t="inlineStr">
        <is>
          <t>DEMIN. WATER SUPPLY PUMP DISC. PRESS. B</t>
        </is>
      </c>
      <c r="E14" s="37" t="n">
        <v>46051</v>
      </c>
      <c r="F14" s="103" t="n">
        <v>-1</v>
      </c>
      <c r="G14" s="103" t="n">
        <v>20</v>
      </c>
      <c r="H14" s="103" t="n">
        <v>0</v>
      </c>
      <c r="I14" s="103" t="n">
        <v>15</v>
      </c>
      <c r="J14" s="4" t="inlineStr">
        <is>
          <t>Bar</t>
        </is>
      </c>
      <c r="K14" s="19" t="inlineStr">
        <is>
          <t>YOKOGAWA</t>
        </is>
      </c>
      <c r="L14" s="19" t="inlineStr">
        <is>
          <t>EJA530E</t>
        </is>
      </c>
      <c r="M14" s="19" t="inlineStr">
        <is>
          <t>91S313247</t>
        </is>
      </c>
      <c r="N14" s="2">
        <f>IF(E14="","Waiting","Calibrated")</f>
        <v/>
      </c>
      <c r="O14" s="2" t="n"/>
      <c r="P14" s="2" t="inlineStr">
        <is>
          <t>ZM06</t>
        </is>
      </c>
      <c r="Q14" s="2" t="n"/>
      <c r="R14" s="28" t="n"/>
      <c r="S14" s="28" t="inlineStr">
        <is>
          <t>10LAB10GH101</t>
        </is>
      </c>
      <c r="T14" s="32" t="n"/>
    </row>
    <row r="15" ht="30" customFormat="1" customHeight="1" s="5">
      <c r="A15" s="17" t="n">
        <v>13</v>
      </c>
      <c r="B15" s="17" t="inlineStr">
        <is>
          <t>KIPP00</t>
        </is>
      </c>
      <c r="C15" s="2" t="inlineStr">
        <is>
          <t>00GHC16CP101</t>
        </is>
      </c>
      <c r="D15" s="14" t="inlineStr">
        <is>
          <t>EMERGENCY M/U DISCAHARGE PT - A</t>
        </is>
      </c>
      <c r="E15" s="37" t="n"/>
      <c r="F15" s="103" t="n">
        <v>-1</v>
      </c>
      <c r="G15" s="103" t="n">
        <v>100</v>
      </c>
      <c r="H15" s="103" t="n">
        <v>0</v>
      </c>
      <c r="I15" s="103" t="n">
        <v>15</v>
      </c>
      <c r="J15" s="4" t="inlineStr">
        <is>
          <t>Bar</t>
        </is>
      </c>
      <c r="K15" s="33" t="inlineStr">
        <is>
          <t>YOKOGAWA</t>
        </is>
      </c>
      <c r="L15" s="33" t="inlineStr">
        <is>
          <t>EJA530E</t>
        </is>
      </c>
      <c r="M15" s="20" t="inlineStr">
        <is>
          <t>91S313302</t>
        </is>
      </c>
      <c r="N15" s="2">
        <f>IF(E15="","Waiting","Calibrated")</f>
        <v/>
      </c>
      <c r="O15" s="2" t="n"/>
      <c r="P15" s="2" t="inlineStr">
        <is>
          <t>ZM06</t>
        </is>
      </c>
      <c r="Q15" s="2" t="n"/>
      <c r="R15" s="28" t="n"/>
      <c r="S15" s="28" t="inlineStr">
        <is>
          <t>10LAB10GH101</t>
        </is>
      </c>
      <c r="T15" s="32" t="n"/>
    </row>
    <row r="16" ht="30" customFormat="1" customHeight="1" s="5">
      <c r="A16" s="17" t="n">
        <v>14</v>
      </c>
      <c r="B16" s="17" t="inlineStr">
        <is>
          <t>KIPP00</t>
        </is>
      </c>
      <c r="C16" s="2" t="inlineStr">
        <is>
          <t>00GHC16CP102</t>
        </is>
      </c>
      <c r="D16" s="14" t="inlineStr">
        <is>
          <t>EMERGENCY M/U DISCAHARGE PT - B</t>
        </is>
      </c>
      <c r="E16" s="37" t="n"/>
      <c r="F16" s="103" t="n">
        <v>-1</v>
      </c>
      <c r="G16" s="103" t="n">
        <v>100</v>
      </c>
      <c r="H16" s="103" t="n">
        <v>0</v>
      </c>
      <c r="I16" s="103" t="n">
        <v>15</v>
      </c>
      <c r="J16" s="4" t="inlineStr">
        <is>
          <t>Bar</t>
        </is>
      </c>
      <c r="K16" s="33" t="inlineStr">
        <is>
          <t>YOKOGAWA</t>
        </is>
      </c>
      <c r="L16" s="33" t="inlineStr">
        <is>
          <t>EJA530E</t>
        </is>
      </c>
      <c r="M16" s="20" t="inlineStr">
        <is>
          <t>91S313303</t>
        </is>
      </c>
      <c r="N16" s="2">
        <f>IF(E16="","Waiting","Calibrated")</f>
        <v/>
      </c>
      <c r="O16" s="2" t="n"/>
      <c r="P16" s="2" t="inlineStr">
        <is>
          <t>ZM06</t>
        </is>
      </c>
      <c r="Q16" s="2" t="n"/>
      <c r="R16" s="28" t="n"/>
      <c r="S16" s="28" t="inlineStr">
        <is>
          <t>10LAB01GH101</t>
        </is>
      </c>
      <c r="T16" s="32" t="n"/>
    </row>
    <row r="17" ht="30" customFormat="1" customHeight="1" s="5">
      <c r="A17" s="17" t="n">
        <v>15</v>
      </c>
      <c r="B17" s="17" t="inlineStr">
        <is>
          <t>KIPP00</t>
        </is>
      </c>
      <c r="C17" s="2" t="inlineStr">
        <is>
          <t>00GHC24CF101</t>
        </is>
      </c>
      <c r="D17" s="14" t="inlineStr">
        <is>
          <t>CONDENSER MAKE UP WATER FIT</t>
        </is>
      </c>
      <c r="E17" s="37" t="n"/>
      <c r="F17" s="103" t="n">
        <v>-10197.2</v>
      </c>
      <c r="G17" s="103" t="n">
        <v>10197.2</v>
      </c>
      <c r="H17" s="103" t="n">
        <v>0</v>
      </c>
      <c r="I17" s="103" t="n">
        <v>5000</v>
      </c>
      <c r="J17" s="4" t="inlineStr">
        <is>
          <t>mmH2O</t>
        </is>
      </c>
      <c r="K17" s="19" t="inlineStr">
        <is>
          <t>YOKOGAWA</t>
        </is>
      </c>
      <c r="L17" s="19" t="inlineStr">
        <is>
          <t>EJA110E</t>
        </is>
      </c>
      <c r="M17" s="19" t="inlineStr">
        <is>
          <t>91S313065</t>
        </is>
      </c>
      <c r="N17" s="2">
        <f>IF(E17="","Waiting","Calibrated")</f>
        <v/>
      </c>
      <c r="O17" s="2" t="n"/>
      <c r="P17" s="2" t="inlineStr">
        <is>
          <t>ZM06</t>
        </is>
      </c>
      <c r="Q17" s="2" t="n"/>
      <c r="R17" s="28" t="n"/>
      <c r="S17" s="28" t="inlineStr">
        <is>
          <t>10LAB02GH101</t>
        </is>
      </c>
      <c r="T17" s="32" t="n"/>
    </row>
    <row r="18" ht="30" customFormat="1" customHeight="1" s="5">
      <c r="A18" s="17" t="n">
        <v>16</v>
      </c>
      <c r="B18" s="17" t="inlineStr">
        <is>
          <t>KIPP00</t>
        </is>
      </c>
      <c r="C18" s="2" t="inlineStr">
        <is>
          <t>00GKB21CP101</t>
        </is>
      </c>
      <c r="D18" s="14" t="inlineStr">
        <is>
          <t>POTABLE WATER SUPPLY PUMP-A SUCTION PT</t>
        </is>
      </c>
      <c r="E18" s="37" t="n"/>
      <c r="F18" s="103" t="n">
        <v>-1</v>
      </c>
      <c r="G18" s="103" t="n">
        <v>20</v>
      </c>
      <c r="H18" s="103" t="n">
        <v>-1</v>
      </c>
      <c r="I18" s="103" t="n">
        <v>4</v>
      </c>
      <c r="J18" s="4" t="inlineStr">
        <is>
          <t>Bar</t>
        </is>
      </c>
      <c r="K18" s="19" t="inlineStr">
        <is>
          <t>YOKOGAWA</t>
        </is>
      </c>
      <c r="L18" s="33" t="inlineStr">
        <is>
          <t>EJA530E</t>
        </is>
      </c>
      <c r="M18" s="19" t="inlineStr">
        <is>
          <t>91S313267</t>
        </is>
      </c>
      <c r="N18" s="2">
        <f>IF(E18="","Waiting","Calibrated")</f>
        <v/>
      </c>
      <c r="O18" s="2" t="n"/>
      <c r="P18" s="2" t="inlineStr">
        <is>
          <t>ZM06</t>
        </is>
      </c>
      <c r="Q18" s="2" t="n"/>
      <c r="R18" s="28" t="n"/>
      <c r="S18" s="28" t="inlineStr">
        <is>
          <t>00GKB21GH01</t>
        </is>
      </c>
      <c r="T18" s="32" t="n"/>
    </row>
    <row r="19" ht="30" customFormat="1" customHeight="1" s="5">
      <c r="A19" s="17" t="n">
        <v>17</v>
      </c>
      <c r="B19" s="17" t="inlineStr">
        <is>
          <t>KIPP00</t>
        </is>
      </c>
      <c r="C19" s="2" t="inlineStr">
        <is>
          <t>00GKB22CP101</t>
        </is>
      </c>
      <c r="D19" s="14" t="inlineStr">
        <is>
          <t>POTABLE WATER SUPPLY PUMP-B SUCTION PT</t>
        </is>
      </c>
      <c r="E19" s="37" t="n"/>
      <c r="F19" s="103" t="n">
        <v>-1</v>
      </c>
      <c r="G19" s="103" t="n">
        <v>20</v>
      </c>
      <c r="H19" s="103" t="n">
        <v>-1</v>
      </c>
      <c r="I19" s="103" t="n">
        <v>4</v>
      </c>
      <c r="J19" s="4" t="inlineStr">
        <is>
          <t>Bar</t>
        </is>
      </c>
      <c r="K19" s="19" t="inlineStr">
        <is>
          <t>YOKOGAWA</t>
        </is>
      </c>
      <c r="L19" s="33" t="inlineStr">
        <is>
          <t>EJA530E</t>
        </is>
      </c>
      <c r="M19" s="19" t="inlineStr">
        <is>
          <t>91S313268</t>
        </is>
      </c>
      <c r="N19" s="2">
        <f>IF(E19="","Waiting","Calibrated")</f>
        <v/>
      </c>
      <c r="O19" s="2" t="n"/>
      <c r="P19" s="2" t="inlineStr">
        <is>
          <t>ZM06</t>
        </is>
      </c>
      <c r="Q19" s="2" t="n"/>
      <c r="R19" s="28" t="n"/>
      <c r="S19" s="28" t="inlineStr">
        <is>
          <t>00GKB21GH01</t>
        </is>
      </c>
      <c r="T19" s="32" t="n"/>
    </row>
    <row r="20" ht="30" customFormat="1" customHeight="1" s="5">
      <c r="A20" s="17" t="n">
        <v>18</v>
      </c>
      <c r="B20" s="17" t="inlineStr">
        <is>
          <t>KIPP00</t>
        </is>
      </c>
      <c r="C20" s="2" t="inlineStr">
        <is>
          <t>00GKB30CP101</t>
        </is>
      </c>
      <c r="D20" s="14" t="inlineStr">
        <is>
          <t>POTABLE WATER SUPPLY PUMP DISCHARGE PT - A</t>
        </is>
      </c>
      <c r="E20" s="37" t="n"/>
      <c r="F20" s="103" t="n">
        <v>-1</v>
      </c>
      <c r="G20" s="103" t="n">
        <v>20</v>
      </c>
      <c r="H20" s="103" t="n">
        <v>0</v>
      </c>
      <c r="I20" s="103" t="n">
        <v>9</v>
      </c>
      <c r="J20" s="4" t="inlineStr">
        <is>
          <t>Bar</t>
        </is>
      </c>
      <c r="K20" s="19" t="inlineStr">
        <is>
          <t>YOKOGAWA</t>
        </is>
      </c>
      <c r="L20" s="33" t="inlineStr">
        <is>
          <t>EJA530E</t>
        </is>
      </c>
      <c r="M20" s="19" t="inlineStr">
        <is>
          <t>91S313244</t>
        </is>
      </c>
      <c r="N20" s="2">
        <f>IF(E20="","Waiting","Calibrated")</f>
        <v/>
      </c>
      <c r="O20" s="2" t="n"/>
      <c r="P20" s="2" t="inlineStr">
        <is>
          <t>ZM06</t>
        </is>
      </c>
      <c r="Q20" s="2" t="n"/>
      <c r="R20" s="28" t="n"/>
      <c r="S20" s="28" t="inlineStr">
        <is>
          <t>00GKB21GH01</t>
        </is>
      </c>
      <c r="T20" s="32" t="n"/>
    </row>
    <row r="21" ht="30" customFormat="1" customHeight="1" s="5">
      <c r="A21" s="17" t="n">
        <v>19</v>
      </c>
      <c r="B21" s="17" t="inlineStr">
        <is>
          <t>KIPP00</t>
        </is>
      </c>
      <c r="C21" s="2" t="inlineStr">
        <is>
          <t>00GKB30CP102</t>
        </is>
      </c>
      <c r="D21" s="14" t="inlineStr">
        <is>
          <t>POTABLE WATER SUPPLY PUMP DISCHARGE PT - B</t>
        </is>
      </c>
      <c r="E21" s="37" t="n"/>
      <c r="F21" s="103" t="n">
        <v>-1</v>
      </c>
      <c r="G21" s="103" t="n">
        <v>20</v>
      </c>
      <c r="H21" s="103" t="n">
        <v>0</v>
      </c>
      <c r="I21" s="103" t="n">
        <v>9</v>
      </c>
      <c r="J21" s="4" t="inlineStr">
        <is>
          <t>Bar</t>
        </is>
      </c>
      <c r="K21" s="19" t="inlineStr">
        <is>
          <t>YOKOGAWA</t>
        </is>
      </c>
      <c r="L21" s="33" t="inlineStr">
        <is>
          <t>EJA530E</t>
        </is>
      </c>
      <c r="M21" s="19" t="inlineStr">
        <is>
          <t>91S313245</t>
        </is>
      </c>
      <c r="N21" s="2">
        <f>IF(E21="","Waiting","Calibrated")</f>
        <v/>
      </c>
      <c r="O21" s="2" t="n"/>
      <c r="P21" s="2" t="inlineStr">
        <is>
          <t>ZM06</t>
        </is>
      </c>
      <c r="Q21" s="2" t="n"/>
      <c r="R21" s="28" t="n"/>
      <c r="S21" s="28" t="inlineStr">
        <is>
          <t>00GKB21GH01</t>
        </is>
      </c>
      <c r="T21" s="32" t="n"/>
    </row>
    <row r="22" ht="30" customFormat="1" customHeight="1" s="5">
      <c r="A22" s="17" t="n">
        <v>20</v>
      </c>
      <c r="B22" s="17" t="inlineStr">
        <is>
          <t>KIPP10</t>
        </is>
      </c>
      <c r="C22" s="2" t="inlineStr">
        <is>
          <t>10LAA00CL101</t>
        </is>
      </c>
      <c r="D22" s="14" t="inlineStr">
        <is>
          <t>DEAERATOR &amp; FW STORAGE TANK LEVEL A</t>
        </is>
      </c>
      <c r="E22" s="37" t="n"/>
      <c r="F22" s="103" t="n">
        <v>-10197.2</v>
      </c>
      <c r="G22" s="103" t="n">
        <v>10197.2</v>
      </c>
      <c r="H22" s="103" t="n">
        <v>-2700</v>
      </c>
      <c r="I22" s="103" t="n">
        <v>0</v>
      </c>
      <c r="J22" s="4" t="inlineStr">
        <is>
          <t>mmH2O</t>
        </is>
      </c>
      <c r="K22" s="19" t="inlineStr">
        <is>
          <t>YOKOGAWA</t>
        </is>
      </c>
      <c r="L22" s="19" t="inlineStr">
        <is>
          <t>EJA110E</t>
        </is>
      </c>
      <c r="M22" s="19" t="inlineStr">
        <is>
          <t>91S313099</t>
        </is>
      </c>
      <c r="N22" s="2">
        <f>IF(E22="","Waiting","Calibrated")</f>
        <v/>
      </c>
      <c r="O22" s="2" t="n"/>
      <c r="P22" s="2" t="inlineStr">
        <is>
          <t>ZM06</t>
        </is>
      </c>
      <c r="Q22" s="2" t="n"/>
      <c r="R22" s="28" t="n"/>
      <c r="S22" s="28" t="inlineStr">
        <is>
          <t>10LAB15GH101</t>
        </is>
      </c>
      <c r="T22" s="32" t="n"/>
    </row>
    <row r="23" ht="30" customFormat="1" customHeight="1" s="5">
      <c r="A23" s="17" t="n">
        <v>21</v>
      </c>
      <c r="B23" s="17" t="inlineStr">
        <is>
          <t>KIPP10</t>
        </is>
      </c>
      <c r="C23" s="2" t="inlineStr">
        <is>
          <t>10LAA00CL102</t>
        </is>
      </c>
      <c r="D23" s="14" t="inlineStr">
        <is>
          <t>DEAERATOR &amp; FW STORAGE TANK LEVEL B</t>
        </is>
      </c>
      <c r="E23" s="37" t="n"/>
      <c r="F23" s="103" t="n">
        <v>-10197.2</v>
      </c>
      <c r="G23" s="103" t="n">
        <v>10197.2</v>
      </c>
      <c r="H23" s="103" t="n">
        <v>-2700</v>
      </c>
      <c r="I23" s="103" t="n">
        <v>0</v>
      </c>
      <c r="J23" s="4" t="inlineStr">
        <is>
          <t>mmH2O</t>
        </is>
      </c>
      <c r="K23" s="19" t="inlineStr">
        <is>
          <t>YOKOGAWA</t>
        </is>
      </c>
      <c r="L23" s="19" t="inlineStr">
        <is>
          <t>EJA110E</t>
        </is>
      </c>
      <c r="M23" s="19" t="inlineStr">
        <is>
          <t>91S313098</t>
        </is>
      </c>
      <c r="N23" s="2">
        <f>IF(E23="","Waiting","Calibrated")</f>
        <v/>
      </c>
      <c r="O23" s="2" t="n"/>
      <c r="P23" s="2" t="inlineStr">
        <is>
          <t>ZM06</t>
        </is>
      </c>
      <c r="Q23" s="2" t="n"/>
      <c r="R23" s="28" t="n"/>
      <c r="S23" s="28" t="inlineStr">
        <is>
          <t>10LAB15GH101</t>
        </is>
      </c>
      <c r="T23" s="32" t="n"/>
    </row>
    <row r="24" ht="30" customFormat="1" customHeight="1" s="5">
      <c r="A24" s="17" t="n">
        <v>22</v>
      </c>
      <c r="B24" s="17" t="inlineStr">
        <is>
          <t>KIPP10</t>
        </is>
      </c>
      <c r="C24" s="2" t="inlineStr">
        <is>
          <t>10LAA00CL103</t>
        </is>
      </c>
      <c r="D24" s="14" t="inlineStr">
        <is>
          <t>DEAERATOR &amp; FW STORAGE TANK LEVEL C</t>
        </is>
      </c>
      <c r="E24" s="37" t="n"/>
      <c r="F24" s="103" t="n">
        <v>-10197.2</v>
      </c>
      <c r="G24" s="103" t="n">
        <v>10197.2</v>
      </c>
      <c r="H24" s="103" t="n">
        <v>-2700</v>
      </c>
      <c r="I24" s="103" t="n">
        <v>0</v>
      </c>
      <c r="J24" s="4" t="inlineStr">
        <is>
          <t>mmH2O</t>
        </is>
      </c>
      <c r="K24" s="19" t="inlineStr">
        <is>
          <t>YOKOGAWA</t>
        </is>
      </c>
      <c r="L24" s="19" t="inlineStr">
        <is>
          <t>EJA110E</t>
        </is>
      </c>
      <c r="M24" s="19" t="inlineStr">
        <is>
          <t>91S313095</t>
        </is>
      </c>
      <c r="N24" s="2">
        <f>IF(E24="","Waiting","Calibrated")</f>
        <v/>
      </c>
      <c r="O24" s="2" t="n"/>
      <c r="P24" s="2" t="inlineStr">
        <is>
          <t>ZM06</t>
        </is>
      </c>
      <c r="Q24" s="2" t="n"/>
      <c r="R24" s="28" t="n"/>
      <c r="S24" s="28" t="inlineStr">
        <is>
          <t>10LAB10GH101</t>
        </is>
      </c>
      <c r="T24" s="32" t="n"/>
    </row>
    <row r="25" ht="30" customFormat="1" customHeight="1" s="5">
      <c r="A25" s="17" t="n">
        <v>23</v>
      </c>
      <c r="B25" s="17" t="inlineStr">
        <is>
          <t>KIPP10</t>
        </is>
      </c>
      <c r="C25" s="2" t="inlineStr">
        <is>
          <t>10LAA00CL104</t>
        </is>
      </c>
      <c r="D25" s="14" t="inlineStr">
        <is>
          <t>DEAERATOR &amp; FW STORAGE TANK LEVEL D</t>
        </is>
      </c>
      <c r="E25" s="37" t="n"/>
      <c r="F25" s="103" t="n">
        <v>-10197.2</v>
      </c>
      <c r="G25" s="103" t="n">
        <v>10197.2</v>
      </c>
      <c r="H25" s="103" t="n">
        <v>-2700</v>
      </c>
      <c r="I25" s="103" t="n">
        <v>0</v>
      </c>
      <c r="J25" s="4" t="inlineStr">
        <is>
          <t>mmH2O</t>
        </is>
      </c>
      <c r="K25" s="19" t="inlineStr">
        <is>
          <t>YOKOGAWA</t>
        </is>
      </c>
      <c r="L25" s="19" t="inlineStr">
        <is>
          <t>EJA110E</t>
        </is>
      </c>
      <c r="M25" s="19" t="inlineStr">
        <is>
          <t>91S313094</t>
        </is>
      </c>
      <c r="N25" s="2">
        <f>IF(E25="","Waiting","Calibrated")</f>
        <v/>
      </c>
      <c r="O25" s="2" t="n"/>
      <c r="P25" s="2" t="inlineStr">
        <is>
          <t>ZM06</t>
        </is>
      </c>
      <c r="Q25" s="2" t="n"/>
      <c r="R25" s="28" t="n"/>
      <c r="S25" s="28" t="inlineStr">
        <is>
          <t>10LAB10GH101</t>
        </is>
      </c>
      <c r="T25" s="32" t="n"/>
    </row>
    <row r="26" ht="30" customFormat="1" customHeight="1" s="5">
      <c r="A26" s="17" t="n">
        <v>24</v>
      </c>
      <c r="B26" s="17" t="inlineStr">
        <is>
          <t>KIPP10</t>
        </is>
      </c>
      <c r="C26" s="2" t="inlineStr">
        <is>
          <t>10LAA00CL105</t>
        </is>
      </c>
      <c r="D26" s="14" t="inlineStr">
        <is>
          <t>DEAERATOR &amp; FW STORAGE TANK LEVEL E</t>
        </is>
      </c>
      <c r="E26" s="37" t="n"/>
      <c r="F26" s="103" t="n">
        <v>-10197.2</v>
      </c>
      <c r="G26" s="103" t="n">
        <v>10197.2</v>
      </c>
      <c r="H26" s="103" t="n">
        <v>-2700</v>
      </c>
      <c r="I26" s="103" t="n">
        <v>0</v>
      </c>
      <c r="J26" s="4" t="inlineStr">
        <is>
          <t>mmH2O</t>
        </is>
      </c>
      <c r="K26" s="19" t="inlineStr">
        <is>
          <t>YOKOGAWA</t>
        </is>
      </c>
      <c r="L26" s="19" t="inlineStr">
        <is>
          <t>EJA110E</t>
        </is>
      </c>
      <c r="M26" s="19" t="inlineStr">
        <is>
          <t>91S313093</t>
        </is>
      </c>
      <c r="N26" s="2">
        <f>IF(E26="","Waiting","Calibrated")</f>
        <v/>
      </c>
      <c r="O26" s="2" t="n"/>
      <c r="P26" s="2" t="inlineStr">
        <is>
          <t>ZM06</t>
        </is>
      </c>
      <c r="Q26" s="2" t="n"/>
      <c r="R26" s="28" t="n"/>
      <c r="S26" s="28" t="inlineStr">
        <is>
          <t>10LAB01GH101</t>
        </is>
      </c>
      <c r="T26" s="32" t="n"/>
    </row>
    <row r="27" ht="30" customFormat="1" customHeight="1" s="5">
      <c r="A27" s="17" t="n">
        <v>25</v>
      </c>
      <c r="B27" s="17" t="inlineStr">
        <is>
          <t>KIPP10</t>
        </is>
      </c>
      <c r="C27" s="2" t="inlineStr">
        <is>
          <t>10LAA00CP101</t>
        </is>
      </c>
      <c r="D27" s="14" t="inlineStr">
        <is>
          <t>DEAERATOR &amp; FW STORAGE TANK PRESSURE A</t>
        </is>
      </c>
      <c r="E27" s="37" t="n"/>
      <c r="F27" s="103" t="n">
        <v>-1</v>
      </c>
      <c r="G27" s="103" t="n">
        <v>20</v>
      </c>
      <c r="H27" s="103" t="n">
        <v>0</v>
      </c>
      <c r="I27" s="103" t="n">
        <v>7</v>
      </c>
      <c r="J27" s="4" t="inlineStr">
        <is>
          <t>Bar</t>
        </is>
      </c>
      <c r="K27" s="19" t="inlineStr">
        <is>
          <t>YOKOGAWA</t>
        </is>
      </c>
      <c r="L27" s="19" t="inlineStr">
        <is>
          <t>EJA530E</t>
        </is>
      </c>
      <c r="M27" s="19" t="inlineStr">
        <is>
          <t>91S313278</t>
        </is>
      </c>
      <c r="N27" s="2">
        <f>IF(E27="","Waiting","Calibrated")</f>
        <v/>
      </c>
      <c r="O27" s="2" t="n"/>
      <c r="P27" s="2" t="inlineStr">
        <is>
          <t>ZM06</t>
        </is>
      </c>
      <c r="Q27" s="2" t="n"/>
      <c r="R27" s="28" t="n"/>
      <c r="S27" s="28" t="inlineStr">
        <is>
          <t>10LAB02GH101</t>
        </is>
      </c>
      <c r="T27" s="32" t="n"/>
    </row>
    <row r="28" ht="30" customFormat="1" customHeight="1" s="5">
      <c r="A28" s="17" t="n">
        <v>26</v>
      </c>
      <c r="B28" s="17" t="inlineStr">
        <is>
          <t>KIPP10</t>
        </is>
      </c>
      <c r="C28" s="2" t="inlineStr">
        <is>
          <t>10LAA00CP102</t>
        </is>
      </c>
      <c r="D28" s="14" t="inlineStr">
        <is>
          <t>DEAERATOR &amp; FW STORAGE TANK PRESSURE B</t>
        </is>
      </c>
      <c r="E28" s="37" t="n"/>
      <c r="F28" s="103" t="n">
        <v>-1</v>
      </c>
      <c r="G28" s="103" t="n">
        <v>20</v>
      </c>
      <c r="H28" s="103" t="n">
        <v>0</v>
      </c>
      <c r="I28" s="103" t="n">
        <v>7</v>
      </c>
      <c r="J28" s="4" t="inlineStr">
        <is>
          <t>Bar</t>
        </is>
      </c>
      <c r="K28" s="19" t="inlineStr">
        <is>
          <t>YOKOGAWA</t>
        </is>
      </c>
      <c r="L28" s="19" t="inlineStr">
        <is>
          <t>EJA530E</t>
        </is>
      </c>
      <c r="M28" s="19" t="inlineStr">
        <is>
          <t>91S313279</t>
        </is>
      </c>
      <c r="N28" s="2">
        <f>IF(E28="","Waiting","Calibrated")</f>
        <v/>
      </c>
      <c r="O28" s="2" t="n"/>
      <c r="P28" s="2" t="inlineStr">
        <is>
          <t>ZM06</t>
        </is>
      </c>
      <c r="Q28" s="2" t="n"/>
      <c r="R28" s="28" t="n"/>
      <c r="S28" s="28" t="inlineStr">
        <is>
          <t>10LAB02GH101</t>
        </is>
      </c>
      <c r="T28" s="32" t="n"/>
    </row>
    <row r="29" ht="30" customFormat="1" customHeight="1" s="5">
      <c r="A29" s="17" t="n">
        <v>27</v>
      </c>
      <c r="B29" s="17" t="inlineStr">
        <is>
          <t>KIPP10</t>
        </is>
      </c>
      <c r="C29" s="2" t="inlineStr">
        <is>
          <t>10LAA00CP103</t>
        </is>
      </c>
      <c r="D29" s="14" t="inlineStr">
        <is>
          <t>DEAERATOR &amp; FW STORAGE TANK PRESSURE C</t>
        </is>
      </c>
      <c r="E29" s="37" t="n"/>
      <c r="F29" s="103" t="n">
        <v>-1</v>
      </c>
      <c r="G29" s="103" t="n">
        <v>20</v>
      </c>
      <c r="H29" s="103" t="n">
        <v>0</v>
      </c>
      <c r="I29" s="103" t="n">
        <v>7</v>
      </c>
      <c r="J29" s="4" t="inlineStr">
        <is>
          <t>Bar</t>
        </is>
      </c>
      <c r="K29" s="19" t="inlineStr">
        <is>
          <t>YOKOGAWA</t>
        </is>
      </c>
      <c r="L29" s="19" t="inlineStr">
        <is>
          <t>EJA530E</t>
        </is>
      </c>
      <c r="M29" s="19" t="inlineStr">
        <is>
          <t>91S313280</t>
        </is>
      </c>
      <c r="N29" s="2">
        <f>IF(E29="","Waiting","Calibrated")</f>
        <v/>
      </c>
      <c r="O29" s="2" t="n"/>
      <c r="P29" s="2" t="inlineStr">
        <is>
          <t>ZM06</t>
        </is>
      </c>
      <c r="Q29" s="2" t="n"/>
      <c r="R29" s="28" t="n"/>
      <c r="S29" s="28" t="inlineStr">
        <is>
          <t>10LAB02GH101</t>
        </is>
      </c>
      <c r="T29" s="32" t="n"/>
    </row>
    <row r="30" ht="30" customFormat="1" customHeight="1" s="5">
      <c r="A30" s="17" t="n">
        <v>28</v>
      </c>
      <c r="B30" s="17" t="inlineStr">
        <is>
          <t>KIPP10</t>
        </is>
      </c>
      <c r="C30" s="2" t="inlineStr">
        <is>
          <t>10LAB01CP102</t>
        </is>
      </c>
      <c r="D30" s="14" t="inlineStr">
        <is>
          <t>STG 10 BOILER FWP C SUCTION PRESSURE</t>
        </is>
      </c>
      <c r="E30" s="37" t="n"/>
      <c r="F30" s="103" t="n">
        <v>-1</v>
      </c>
      <c r="G30" s="103" t="n">
        <v>20</v>
      </c>
      <c r="H30" s="103" t="n">
        <v>0</v>
      </c>
      <c r="I30" s="103" t="n">
        <v>5</v>
      </c>
      <c r="J30" s="4" t="inlineStr">
        <is>
          <t>Bar</t>
        </is>
      </c>
      <c r="K30" s="19" t="inlineStr">
        <is>
          <t>YOKOGAWA</t>
        </is>
      </c>
      <c r="L30" s="19" t="inlineStr">
        <is>
          <t>EJA530E</t>
        </is>
      </c>
      <c r="M30" s="19" t="inlineStr">
        <is>
          <t>91S213232</t>
        </is>
      </c>
      <c r="N30" s="2">
        <f>IF(E30="","Waiting","Calibrated")</f>
        <v/>
      </c>
      <c r="O30" s="2" t="n"/>
      <c r="P30" s="2" t="inlineStr">
        <is>
          <t>ZM06</t>
        </is>
      </c>
      <c r="Q30" s="2" t="n"/>
      <c r="R30" s="28" t="n"/>
      <c r="S30" s="28" t="n"/>
      <c r="T30" s="32" t="n"/>
    </row>
    <row r="31" ht="30" customFormat="1" customHeight="1" s="5">
      <c r="A31" s="17" t="n">
        <v>29</v>
      </c>
      <c r="B31" s="17" t="inlineStr">
        <is>
          <t>KIPP10</t>
        </is>
      </c>
      <c r="C31" s="2" t="inlineStr">
        <is>
          <t>10LAB02CP102</t>
        </is>
      </c>
      <c r="D31" s="14" t="inlineStr">
        <is>
          <t>BOILER FEED WATER PUMP B SUCTION PT</t>
        </is>
      </c>
      <c r="E31" s="37" t="n"/>
      <c r="F31" s="103" t="n">
        <v>-1</v>
      </c>
      <c r="G31" s="103" t="n">
        <v>20</v>
      </c>
      <c r="H31" s="103" t="n">
        <v>0</v>
      </c>
      <c r="I31" s="103" t="n">
        <v>5</v>
      </c>
      <c r="J31" s="4" t="inlineStr">
        <is>
          <t>Bar</t>
        </is>
      </c>
      <c r="K31" s="19" t="inlineStr">
        <is>
          <t>YOKOGAWA</t>
        </is>
      </c>
      <c r="L31" s="19" t="inlineStr">
        <is>
          <t>EJA530E</t>
        </is>
      </c>
      <c r="M31" s="19" t="inlineStr">
        <is>
          <t>91S213233</t>
        </is>
      </c>
      <c r="N31" s="2">
        <f>IF(E31="","Waiting","Calibrated")</f>
        <v/>
      </c>
      <c r="O31" s="2" t="n"/>
      <c r="P31" s="2" t="inlineStr">
        <is>
          <t>ZM06</t>
        </is>
      </c>
      <c r="Q31" s="2" t="n"/>
      <c r="R31" s="28" t="n"/>
      <c r="S31" s="28" t="n"/>
      <c r="T31" s="32" t="n"/>
    </row>
    <row r="32" ht="30" customFormat="1" customHeight="1" s="5">
      <c r="A32" s="17" t="n">
        <v>30</v>
      </c>
      <c r="B32" s="17" t="inlineStr">
        <is>
          <t>KIPP10</t>
        </is>
      </c>
      <c r="C32" s="2" t="inlineStr">
        <is>
          <t>10LAB03CP102</t>
        </is>
      </c>
      <c r="D32" s="14" t="inlineStr">
        <is>
          <t>STG 10 BOILER FWP C SUCTION PRESSURE</t>
        </is>
      </c>
      <c r="E32" s="37" t="n"/>
      <c r="F32" s="103" t="n">
        <v>-1</v>
      </c>
      <c r="G32" s="103" t="n">
        <v>20</v>
      </c>
      <c r="H32" s="103" t="n">
        <v>0</v>
      </c>
      <c r="I32" s="103" t="n">
        <v>5</v>
      </c>
      <c r="J32" s="4" t="inlineStr">
        <is>
          <t>Bar</t>
        </is>
      </c>
      <c r="K32" s="19" t="inlineStr">
        <is>
          <t>YOKOGAWA</t>
        </is>
      </c>
      <c r="L32" s="19" t="inlineStr">
        <is>
          <t>EJA530E</t>
        </is>
      </c>
      <c r="M32" s="19" t="inlineStr">
        <is>
          <t>91S213234</t>
        </is>
      </c>
      <c r="N32" s="2">
        <f>IF(E32="","Waiting","Calibrated")</f>
        <v/>
      </c>
      <c r="O32" s="2" t="n"/>
      <c r="P32" s="2" t="inlineStr">
        <is>
          <t>ZM06</t>
        </is>
      </c>
      <c r="Q32" s="2" t="n"/>
      <c r="R32" s="28" t="n"/>
      <c r="S32" s="28" t="n"/>
      <c r="T32" s="32" t="n"/>
    </row>
    <row r="33" ht="30" customFormat="1" customHeight="1" s="5">
      <c r="A33" s="17" t="n">
        <v>31</v>
      </c>
      <c r="B33" s="17" t="inlineStr">
        <is>
          <t>KIPP10</t>
        </is>
      </c>
      <c r="C33" s="2" t="inlineStr">
        <is>
          <t>10LAB06CP102</t>
        </is>
      </c>
      <c r="D33" s="14" t="inlineStr">
        <is>
          <t>CPH PUMP-A SUCTION PRESS.</t>
        </is>
      </c>
      <c r="E33" s="37" t="n"/>
      <c r="F33" s="103" t="n">
        <v>-1</v>
      </c>
      <c r="G33" s="103" t="n">
        <v>20</v>
      </c>
      <c r="H33" s="103" t="n">
        <v>0</v>
      </c>
      <c r="I33" s="103" t="n">
        <v>6</v>
      </c>
      <c r="J33" s="4" t="inlineStr">
        <is>
          <t>Bar</t>
        </is>
      </c>
      <c r="K33" s="19" t="inlineStr">
        <is>
          <t>YOKOGAWA</t>
        </is>
      </c>
      <c r="L33" s="19" t="inlineStr">
        <is>
          <t>EJA530E</t>
        </is>
      </c>
      <c r="M33" s="19" t="inlineStr">
        <is>
          <t>91S313235</t>
        </is>
      </c>
      <c r="N33" s="2">
        <f>IF(E33="","Waiting","Calibrated")</f>
        <v/>
      </c>
      <c r="O33" s="2" t="n"/>
      <c r="P33" s="2" t="inlineStr">
        <is>
          <t>ZM06</t>
        </is>
      </c>
      <c r="Q33" s="2" t="n"/>
      <c r="R33" s="28" t="n"/>
      <c r="S33" s="28" t="n"/>
      <c r="T33" s="32" t="n"/>
    </row>
    <row r="34" ht="30" customFormat="1" customHeight="1" s="5">
      <c r="A34" s="17" t="n">
        <v>32</v>
      </c>
      <c r="B34" s="17" t="inlineStr">
        <is>
          <t>KIPP10</t>
        </is>
      </c>
      <c r="C34" s="2" t="inlineStr">
        <is>
          <t>10LAB07CP102</t>
        </is>
      </c>
      <c r="D34" s="14" t="inlineStr">
        <is>
          <t>CPH PUMP-B SUCTION PRESS.</t>
        </is>
      </c>
      <c r="E34" s="37" t="n"/>
      <c r="F34" s="103" t="n">
        <v>-1</v>
      </c>
      <c r="G34" s="103" t="n">
        <v>20</v>
      </c>
      <c r="H34" s="103" t="n">
        <v>0</v>
      </c>
      <c r="I34" s="103" t="n">
        <v>6</v>
      </c>
      <c r="J34" s="4" t="inlineStr">
        <is>
          <t>Bar</t>
        </is>
      </c>
      <c r="K34" s="19" t="inlineStr">
        <is>
          <t>YOKOGAWA</t>
        </is>
      </c>
      <c r="L34" s="19" t="inlineStr">
        <is>
          <t>EJA530E</t>
        </is>
      </c>
      <c r="M34" s="19" t="inlineStr">
        <is>
          <t>91S313236</t>
        </is>
      </c>
      <c r="N34" s="2">
        <f>IF(E34="","Waiting","Calibrated")</f>
        <v/>
      </c>
      <c r="O34" s="2" t="n"/>
      <c r="P34" s="2" t="inlineStr">
        <is>
          <t>ZM06</t>
        </is>
      </c>
      <c r="Q34" s="2" t="n"/>
      <c r="R34" s="28" t="n"/>
      <c r="S34" s="28" t="n"/>
      <c r="T34" s="32" t="n"/>
    </row>
    <row r="35" ht="30" customFormat="1" customHeight="1" s="5">
      <c r="A35" s="17" t="n">
        <v>33</v>
      </c>
      <c r="B35" s="17" t="inlineStr">
        <is>
          <t>KIPP10</t>
        </is>
      </c>
      <c r="C35" s="2" t="inlineStr">
        <is>
          <t>10LAB08CP102</t>
        </is>
      </c>
      <c r="D35" s="14" t="inlineStr">
        <is>
          <t>CPH PUMP-C SUCTION PRESS.</t>
        </is>
      </c>
      <c r="E35" s="37" t="n"/>
      <c r="F35" s="103" t="n">
        <v>-1</v>
      </c>
      <c r="G35" s="103" t="n">
        <v>20</v>
      </c>
      <c r="H35" s="103" t="n">
        <v>0</v>
      </c>
      <c r="I35" s="103" t="n">
        <v>6</v>
      </c>
      <c r="J35" s="4" t="inlineStr">
        <is>
          <t>Bar</t>
        </is>
      </c>
      <c r="K35" s="19" t="inlineStr">
        <is>
          <t>YOKOGAWA</t>
        </is>
      </c>
      <c r="L35" s="19" t="inlineStr">
        <is>
          <t>EJA530E</t>
        </is>
      </c>
      <c r="M35" s="19" t="inlineStr">
        <is>
          <t>91S313237</t>
        </is>
      </c>
      <c r="N35" s="2">
        <f>IF(E35="","Waiting","Calibrated")</f>
        <v/>
      </c>
      <c r="O35" s="2" t="n"/>
      <c r="P35" s="2" t="inlineStr">
        <is>
          <t>ZM06</t>
        </is>
      </c>
      <c r="Q35" s="2" t="n"/>
      <c r="R35" s="28" t="n"/>
      <c r="S35" s="28" t="n"/>
      <c r="T35" s="32" t="n"/>
    </row>
    <row r="36" ht="30" customFormat="1" customHeight="1" s="5">
      <c r="A36" s="17" t="n">
        <v>34</v>
      </c>
      <c r="B36" s="17" t="inlineStr">
        <is>
          <t>KIPP10</t>
        </is>
      </c>
      <c r="C36" s="2" t="inlineStr">
        <is>
          <t>10LAB10CP101</t>
        </is>
      </c>
      <c r="D36" s="14" t="inlineStr">
        <is>
          <t>BOILER FEED WATER PUMP-A HP DISCHARGE PT</t>
        </is>
      </c>
      <c r="E36" s="37" t="n"/>
      <c r="F36" s="103" t="n">
        <v>-1</v>
      </c>
      <c r="G36" s="103" t="n">
        <v>500</v>
      </c>
      <c r="H36" s="103" t="n">
        <v>0</v>
      </c>
      <c r="I36" s="103" t="n">
        <v>218</v>
      </c>
      <c r="J36" s="4" t="inlineStr">
        <is>
          <t>Bar</t>
        </is>
      </c>
      <c r="K36" s="19" t="inlineStr">
        <is>
          <t>YOKOGAWA</t>
        </is>
      </c>
      <c r="L36" s="19" t="inlineStr">
        <is>
          <t>EJA530E</t>
        </is>
      </c>
      <c r="M36" s="19" t="inlineStr">
        <is>
          <t>91S313320</t>
        </is>
      </c>
      <c r="N36" s="2">
        <f>IF(E36="","Waiting","Calibrated")</f>
        <v/>
      </c>
      <c r="O36" s="2" t="n"/>
      <c r="P36" s="2" t="inlineStr">
        <is>
          <t>ZM06</t>
        </is>
      </c>
      <c r="Q36" s="2" t="n"/>
      <c r="R36" s="28" t="n"/>
      <c r="S36" s="28" t="inlineStr">
        <is>
          <t>10LAB10GH101</t>
        </is>
      </c>
      <c r="T36" s="32" t="n"/>
    </row>
    <row r="37" ht="30" customFormat="1" customHeight="1" s="5">
      <c r="A37" s="17" t="n">
        <v>35</v>
      </c>
      <c r="B37" s="17" t="inlineStr">
        <is>
          <t>KIPP10</t>
        </is>
      </c>
      <c r="C37" s="2" t="inlineStr">
        <is>
          <t>10LAB10CP102</t>
        </is>
      </c>
      <c r="D37" s="14" t="inlineStr">
        <is>
          <t>BOILER FEED WATER PUMP-B HP DISCHARGE PT</t>
        </is>
      </c>
      <c r="E37" s="37" t="n"/>
      <c r="F37" s="103" t="n">
        <v>-1</v>
      </c>
      <c r="G37" s="103" t="n">
        <v>500</v>
      </c>
      <c r="H37" s="103" t="n">
        <v>0</v>
      </c>
      <c r="I37" s="103" t="n">
        <v>218</v>
      </c>
      <c r="J37" s="4" t="inlineStr">
        <is>
          <t>Bar</t>
        </is>
      </c>
      <c r="K37" s="19" t="inlineStr">
        <is>
          <t>YOKOGAWA</t>
        </is>
      </c>
      <c r="L37" s="19" t="inlineStr">
        <is>
          <t>EJA530E</t>
        </is>
      </c>
      <c r="M37" s="19" t="inlineStr">
        <is>
          <t>91S313321</t>
        </is>
      </c>
      <c r="N37" s="2">
        <f>IF(E37="","Waiting","Calibrated")</f>
        <v/>
      </c>
      <c r="O37" s="2" t="n"/>
      <c r="P37" s="2" t="inlineStr">
        <is>
          <t>ZM06</t>
        </is>
      </c>
      <c r="Q37" s="2" t="n"/>
      <c r="R37" s="28" t="n"/>
      <c r="S37" s="28" t="inlineStr">
        <is>
          <t>10LAB10GH101</t>
        </is>
      </c>
      <c r="T37" s="32" t="n"/>
    </row>
    <row r="38" ht="30" customFormat="1" customHeight="1" s="5">
      <c r="A38" s="17" t="n">
        <v>36</v>
      </c>
      <c r="B38" s="17" t="inlineStr">
        <is>
          <t>KIPP10</t>
        </is>
      </c>
      <c r="C38" s="2" t="inlineStr">
        <is>
          <t>10LAB11CF101</t>
        </is>
      </c>
      <c r="D38" s="14" t="inlineStr">
        <is>
          <t>BOILER FEED WATER PUMP A HP DISCHARGE FT</t>
        </is>
      </c>
      <c r="E38" s="37" t="n"/>
      <c r="F38" s="103" t="n">
        <v>-50986</v>
      </c>
      <c r="G38" s="103" t="n">
        <v>50986</v>
      </c>
      <c r="H38" s="103" t="n">
        <v>0</v>
      </c>
      <c r="I38" s="103" t="n">
        <v>7500</v>
      </c>
      <c r="J38" s="4" t="inlineStr">
        <is>
          <t>mmH2O</t>
        </is>
      </c>
      <c r="K38" s="19" t="inlineStr">
        <is>
          <t>YOKOGAWA</t>
        </is>
      </c>
      <c r="L38" s="19" t="inlineStr">
        <is>
          <t>EJA110E</t>
        </is>
      </c>
      <c r="M38" s="19" t="inlineStr">
        <is>
          <t>91S313539</t>
        </is>
      </c>
      <c r="N38" s="2">
        <f>IF(E38="","Waiting","Calibrated")</f>
        <v/>
      </c>
      <c r="O38" s="2" t="n"/>
      <c r="P38" s="2" t="inlineStr">
        <is>
          <t>ZM06</t>
        </is>
      </c>
      <c r="Q38" s="2" t="n"/>
      <c r="R38" s="28" t="n"/>
      <c r="S38" s="28" t="n"/>
      <c r="T38" s="32" t="n"/>
    </row>
    <row r="39" ht="30" customFormat="1" customHeight="1" s="5">
      <c r="A39" s="17" t="n">
        <v>37</v>
      </c>
      <c r="B39" s="17" t="inlineStr">
        <is>
          <t>KIPP10</t>
        </is>
      </c>
      <c r="C39" s="2" t="inlineStr">
        <is>
          <t>10LAB11CF102</t>
        </is>
      </c>
      <c r="D39" s="14" t="inlineStr">
        <is>
          <t>BOILER FEED WATER PUMP A HP DISCHARGE FT</t>
        </is>
      </c>
      <c r="E39" s="37" t="n"/>
      <c r="F39" s="103" t="n">
        <v>-50986</v>
      </c>
      <c r="G39" s="103" t="n">
        <v>50986</v>
      </c>
      <c r="H39" s="103" t="n">
        <v>0</v>
      </c>
      <c r="I39" s="103" t="n">
        <v>7500</v>
      </c>
      <c r="J39" s="4" t="inlineStr">
        <is>
          <t>mmH2O</t>
        </is>
      </c>
      <c r="K39" s="19" t="inlineStr">
        <is>
          <t>YOKOGAWA</t>
        </is>
      </c>
      <c r="L39" s="19" t="inlineStr">
        <is>
          <t>EJA110E</t>
        </is>
      </c>
      <c r="M39" s="19" t="inlineStr">
        <is>
          <t>91S313542</t>
        </is>
      </c>
      <c r="N39" s="2">
        <f>IF(E39="","Waiting","Calibrated")</f>
        <v/>
      </c>
      <c r="O39" s="2" t="n"/>
      <c r="P39" s="2" t="inlineStr">
        <is>
          <t>ZM06</t>
        </is>
      </c>
      <c r="Q39" s="2" t="n"/>
      <c r="R39" s="28" t="n"/>
      <c r="S39" s="28" t="n"/>
      <c r="T39" s="32" t="n"/>
    </row>
    <row r="40" ht="30" customFormat="1" customHeight="1" s="5">
      <c r="A40" s="17" t="n">
        <v>38</v>
      </c>
      <c r="B40" s="17" t="inlineStr">
        <is>
          <t>KIPP10</t>
        </is>
      </c>
      <c r="C40" s="2" t="inlineStr">
        <is>
          <t>10LAB11CP101</t>
        </is>
      </c>
      <c r="D40" s="14" t="inlineStr">
        <is>
          <t>BOILER FEED WATER PUMP-A HP DISCHARGE PT</t>
        </is>
      </c>
      <c r="E40" s="37" t="n"/>
      <c r="F40" s="103" t="n">
        <v>-1</v>
      </c>
      <c r="G40" s="103" t="n">
        <v>500</v>
      </c>
      <c r="H40" s="103" t="n">
        <v>0</v>
      </c>
      <c r="I40" s="103" t="n">
        <v>218</v>
      </c>
      <c r="J40" s="4" t="inlineStr">
        <is>
          <t>Bar</t>
        </is>
      </c>
      <c r="K40" s="19" t="inlineStr">
        <is>
          <t>YOKOGAWA</t>
        </is>
      </c>
      <c r="L40" s="19" t="inlineStr">
        <is>
          <t>EJA530E</t>
        </is>
      </c>
      <c r="M40" s="19" t="inlineStr">
        <is>
          <t>91S213317</t>
        </is>
      </c>
      <c r="N40" s="2">
        <f>IF(E40="","Waiting","Calibrated")</f>
        <v/>
      </c>
      <c r="O40" s="2" t="n"/>
      <c r="P40" s="2" t="inlineStr">
        <is>
          <t>ZM06</t>
        </is>
      </c>
      <c r="Q40" s="2" t="n"/>
      <c r="R40" s="28" t="n"/>
      <c r="S40" s="28" t="n"/>
      <c r="T40" s="32" t="n"/>
    </row>
    <row r="41" ht="30" customFormat="1" customHeight="1" s="5">
      <c r="A41" s="17" t="n">
        <v>39</v>
      </c>
      <c r="B41" s="17" t="inlineStr">
        <is>
          <t>KIPP10</t>
        </is>
      </c>
      <c r="C41" s="2" t="inlineStr">
        <is>
          <t>10LAB12CF101</t>
        </is>
      </c>
      <c r="D41" s="14" t="inlineStr">
        <is>
          <t>BOILER FEED WATER PUMP B HP DISCHARGE FT</t>
        </is>
      </c>
      <c r="E41" s="37" t="n"/>
      <c r="F41" s="103" t="n">
        <v>-50986</v>
      </c>
      <c r="G41" s="103" t="n">
        <v>50986</v>
      </c>
      <c r="H41" s="103" t="n">
        <v>0</v>
      </c>
      <c r="I41" s="103" t="n">
        <v>7500</v>
      </c>
      <c r="J41" s="4" t="inlineStr">
        <is>
          <t>mmH2O</t>
        </is>
      </c>
      <c r="K41" s="19" t="inlineStr">
        <is>
          <t>YOKOGAWA</t>
        </is>
      </c>
      <c r="L41" s="19" t="inlineStr">
        <is>
          <t>EJA110E</t>
        </is>
      </c>
      <c r="M41" s="19" t="inlineStr">
        <is>
          <t>91S313540</t>
        </is>
      </c>
      <c r="N41" s="2">
        <f>IF(E41="","Waiting","Calibrated")</f>
        <v/>
      </c>
      <c r="O41" s="2" t="n"/>
      <c r="P41" s="2" t="inlineStr">
        <is>
          <t>ZM06</t>
        </is>
      </c>
      <c r="Q41" s="2" t="n"/>
      <c r="R41" s="28" t="n"/>
      <c r="S41" s="28" t="n"/>
      <c r="T41" s="32" t="n"/>
    </row>
    <row r="42" ht="30" customFormat="1" customHeight="1" s="5">
      <c r="A42" s="17" t="n">
        <v>40</v>
      </c>
      <c r="B42" s="17" t="inlineStr">
        <is>
          <t>KIPP10</t>
        </is>
      </c>
      <c r="C42" s="2" t="inlineStr">
        <is>
          <t>10LAB12CF102</t>
        </is>
      </c>
      <c r="D42" s="14" t="inlineStr">
        <is>
          <t>BOILER FEED WATER PUMP B HP DISCHARGE FT</t>
        </is>
      </c>
      <c r="E42" s="37" t="n"/>
      <c r="F42" s="103" t="n">
        <v>-50986</v>
      </c>
      <c r="G42" s="103" t="n">
        <v>50986</v>
      </c>
      <c r="H42" s="103" t="n">
        <v>0</v>
      </c>
      <c r="I42" s="103" t="n">
        <v>7500</v>
      </c>
      <c r="J42" s="4" t="inlineStr">
        <is>
          <t>mmH2O</t>
        </is>
      </c>
      <c r="K42" s="19" t="inlineStr">
        <is>
          <t>YOKOGAWA</t>
        </is>
      </c>
      <c r="L42" s="19" t="inlineStr">
        <is>
          <t>EJA110E</t>
        </is>
      </c>
      <c r="M42" s="19" t="inlineStr">
        <is>
          <t>91S313543</t>
        </is>
      </c>
      <c r="N42" s="2">
        <f>IF(E42="","Waiting","Calibrated")</f>
        <v/>
      </c>
      <c r="O42" s="2" t="n"/>
      <c r="P42" s="2" t="inlineStr">
        <is>
          <t>ZM06</t>
        </is>
      </c>
      <c r="Q42" s="2" t="n"/>
      <c r="R42" s="28" t="n"/>
      <c r="S42" s="28" t="n"/>
      <c r="T42" s="32" t="n"/>
    </row>
    <row r="43" ht="30" customFormat="1" customHeight="1" s="5">
      <c r="A43" s="17" t="n">
        <v>41</v>
      </c>
      <c r="B43" s="17" t="inlineStr">
        <is>
          <t>KIPP10</t>
        </is>
      </c>
      <c r="C43" s="2" t="inlineStr">
        <is>
          <t>10LAB12CP101</t>
        </is>
      </c>
      <c r="D43" s="14" t="inlineStr">
        <is>
          <t>BOILER FEED WATER PUMP-B HP DISCHARGE PT</t>
        </is>
      </c>
      <c r="E43" s="37" t="n"/>
      <c r="F43" s="103" t="n">
        <v>-1</v>
      </c>
      <c r="G43" s="103" t="n">
        <v>500</v>
      </c>
      <c r="H43" s="103" t="n">
        <v>0</v>
      </c>
      <c r="I43" s="103" t="n">
        <v>218</v>
      </c>
      <c r="J43" s="4" t="inlineStr">
        <is>
          <t>Bar</t>
        </is>
      </c>
      <c r="K43" s="19" t="inlineStr">
        <is>
          <t>YOKOGAWA</t>
        </is>
      </c>
      <c r="L43" s="19" t="inlineStr">
        <is>
          <t>EJA530E</t>
        </is>
      </c>
      <c r="M43" s="19" t="inlineStr">
        <is>
          <t>91S213318</t>
        </is>
      </c>
      <c r="N43" s="2">
        <f>IF(E43="","Waiting","Calibrated")</f>
        <v/>
      </c>
      <c r="O43" s="2" t="n"/>
      <c r="P43" s="2" t="inlineStr">
        <is>
          <t>ZM06</t>
        </is>
      </c>
      <c r="Q43" s="2" t="n"/>
      <c r="R43" s="28" t="n"/>
      <c r="S43" s="28" t="n"/>
      <c r="T43" s="32" t="n"/>
    </row>
    <row r="44" ht="30" customFormat="1" customHeight="1" s="5">
      <c r="A44" s="17" t="n">
        <v>42</v>
      </c>
      <c r="B44" s="17" t="inlineStr">
        <is>
          <t>KIPP10</t>
        </is>
      </c>
      <c r="C44" s="2" t="inlineStr">
        <is>
          <t>10LAB13CF101</t>
        </is>
      </c>
      <c r="D44" s="14" t="inlineStr">
        <is>
          <t>BOILER FEED WATER PUMP C HP DISCHARGE FT</t>
        </is>
      </c>
      <c r="E44" s="37" t="n"/>
      <c r="F44" s="103" t="n">
        <v>-50986</v>
      </c>
      <c r="G44" s="103" t="n">
        <v>50986</v>
      </c>
      <c r="H44" s="103" t="n">
        <v>0</v>
      </c>
      <c r="I44" s="103" t="n">
        <v>7500</v>
      </c>
      <c r="J44" s="4" t="inlineStr">
        <is>
          <t>mmH2O</t>
        </is>
      </c>
      <c r="K44" s="19" t="inlineStr">
        <is>
          <t>YOKOGAWA</t>
        </is>
      </c>
      <c r="L44" s="19" t="inlineStr">
        <is>
          <t>EJA110E</t>
        </is>
      </c>
      <c r="M44" s="19" t="inlineStr">
        <is>
          <t>91S313541</t>
        </is>
      </c>
      <c r="N44" s="2">
        <f>IF(E44="","Waiting","Calibrated")</f>
        <v/>
      </c>
      <c r="O44" s="2" t="n"/>
      <c r="P44" s="2" t="inlineStr">
        <is>
          <t>ZM06</t>
        </is>
      </c>
      <c r="Q44" s="2" t="n"/>
      <c r="R44" s="28" t="n"/>
      <c r="S44" s="28" t="n"/>
      <c r="T44" s="32" t="n"/>
    </row>
    <row r="45" ht="30" customFormat="1" customHeight="1" s="5">
      <c r="A45" s="17" t="n">
        <v>43</v>
      </c>
      <c r="B45" s="17" t="inlineStr">
        <is>
          <t>KIPP10</t>
        </is>
      </c>
      <c r="C45" s="2" t="inlineStr">
        <is>
          <t>10LAB13CF102</t>
        </is>
      </c>
      <c r="D45" s="14" t="inlineStr">
        <is>
          <t>BOILER FEED WATER PUMP C HP DISCHARGE FT</t>
        </is>
      </c>
      <c r="E45" s="37" t="n"/>
      <c r="F45" s="103" t="n">
        <v>-50986</v>
      </c>
      <c r="G45" s="103" t="n">
        <v>50986</v>
      </c>
      <c r="H45" s="103" t="n">
        <v>0</v>
      </c>
      <c r="I45" s="103" t="n">
        <v>7500</v>
      </c>
      <c r="J45" s="4" t="inlineStr">
        <is>
          <t>mmH2O</t>
        </is>
      </c>
      <c r="K45" s="19" t="inlineStr">
        <is>
          <t>YOKOGAWA</t>
        </is>
      </c>
      <c r="L45" s="19" t="inlineStr">
        <is>
          <t>EJA110E</t>
        </is>
      </c>
      <c r="M45" s="19" t="inlineStr">
        <is>
          <t>91S313544</t>
        </is>
      </c>
      <c r="N45" s="2">
        <f>IF(E45="","Waiting","Calibrated")</f>
        <v/>
      </c>
      <c r="O45" s="2" t="n"/>
      <c r="P45" s="2" t="inlineStr">
        <is>
          <t>ZM06</t>
        </is>
      </c>
      <c r="Q45" s="2" t="n"/>
      <c r="R45" s="28" t="n"/>
      <c r="S45" s="28" t="n"/>
      <c r="T45" s="32" t="n"/>
    </row>
    <row r="46" ht="30" customFormat="1" customHeight="1" s="5">
      <c r="A46" s="17" t="n">
        <v>44</v>
      </c>
      <c r="B46" s="17" t="inlineStr">
        <is>
          <t>KIPP10</t>
        </is>
      </c>
      <c r="C46" s="2" t="inlineStr">
        <is>
          <t>10LAB13CP101</t>
        </is>
      </c>
      <c r="D46" s="14" t="inlineStr">
        <is>
          <t>BOILER FEED WATER PUMP-C HP DISCHARGE PT</t>
        </is>
      </c>
      <c r="E46" s="37" t="n"/>
      <c r="F46" s="103" t="n">
        <v>-1</v>
      </c>
      <c r="G46" s="103" t="n">
        <v>500</v>
      </c>
      <c r="H46" s="103" t="n">
        <v>0</v>
      </c>
      <c r="I46" s="103" t="n">
        <v>218</v>
      </c>
      <c r="J46" s="4" t="inlineStr">
        <is>
          <t>Bar</t>
        </is>
      </c>
      <c r="K46" s="19" t="inlineStr">
        <is>
          <t>YOKOGAWA</t>
        </is>
      </c>
      <c r="L46" s="19" t="inlineStr">
        <is>
          <t>EJA530E</t>
        </is>
      </c>
      <c r="M46" s="19" t="inlineStr">
        <is>
          <t>91S213319</t>
        </is>
      </c>
      <c r="N46" s="2">
        <f>IF(E46="","Waiting","Calibrated")</f>
        <v/>
      </c>
      <c r="O46" s="2" t="n"/>
      <c r="P46" s="2" t="inlineStr">
        <is>
          <t>ZM06</t>
        </is>
      </c>
      <c r="Q46" s="2" t="n"/>
      <c r="R46" s="28" t="n"/>
      <c r="S46" s="31" t="n"/>
      <c r="T46" s="32" t="n"/>
    </row>
    <row r="47" ht="30" customFormat="1" customHeight="1" s="5">
      <c r="A47" s="17" t="n">
        <v>45</v>
      </c>
      <c r="B47" s="17" t="inlineStr">
        <is>
          <t>KIPP10</t>
        </is>
      </c>
      <c r="C47" s="2" t="inlineStr">
        <is>
          <t>10LAB15CP101</t>
        </is>
      </c>
      <c r="D47" s="14" t="inlineStr">
        <is>
          <t>CPH PUMP DISCHARGE LINE PT A</t>
        </is>
      </c>
      <c r="E47" s="37" t="n"/>
      <c r="F47" s="103" t="n">
        <v>-1</v>
      </c>
      <c r="G47" s="103" t="n">
        <v>100</v>
      </c>
      <c r="H47" s="103" t="n">
        <v>0</v>
      </c>
      <c r="I47" s="103" t="n">
        <v>39</v>
      </c>
      <c r="J47" s="4" t="inlineStr">
        <is>
          <t>Bar</t>
        </is>
      </c>
      <c r="K47" s="19" t="inlineStr">
        <is>
          <t>YOKOGAWA</t>
        </is>
      </c>
      <c r="L47" s="19" t="inlineStr">
        <is>
          <t>EJA530E</t>
        </is>
      </c>
      <c r="M47" s="19" t="inlineStr">
        <is>
          <t>91S313311</t>
        </is>
      </c>
      <c r="N47" s="2">
        <f>IF(E47="","Waiting","Calibrated")</f>
        <v/>
      </c>
      <c r="O47" s="2" t="n"/>
      <c r="P47" s="2" t="inlineStr">
        <is>
          <t>ZM06</t>
        </is>
      </c>
      <c r="Q47" s="2" t="n"/>
      <c r="R47" s="28" t="n"/>
      <c r="S47" s="31" t="n"/>
      <c r="T47" s="32" t="n"/>
    </row>
    <row r="48" ht="30" customFormat="1" customHeight="1" s="5">
      <c r="A48" s="17" t="n">
        <v>46</v>
      </c>
      <c r="B48" s="17" t="inlineStr">
        <is>
          <t>KIPP10</t>
        </is>
      </c>
      <c r="C48" s="2" t="inlineStr">
        <is>
          <t>10LAB15CP102</t>
        </is>
      </c>
      <c r="D48" s="14" t="inlineStr">
        <is>
          <t>CPH PUMP DISCHARGE LINE PT B</t>
        </is>
      </c>
      <c r="E48" s="37" t="n"/>
      <c r="F48" s="103" t="n">
        <v>-1</v>
      </c>
      <c r="G48" s="103" t="n">
        <v>100</v>
      </c>
      <c r="H48" s="103" t="n">
        <v>0</v>
      </c>
      <c r="I48" s="103" t="n">
        <v>39</v>
      </c>
      <c r="J48" s="4" t="inlineStr">
        <is>
          <t>Bar</t>
        </is>
      </c>
      <c r="K48" s="19" t="inlineStr">
        <is>
          <t>YOKOGAWA</t>
        </is>
      </c>
      <c r="L48" s="19" t="inlineStr">
        <is>
          <t>EJA530E</t>
        </is>
      </c>
      <c r="M48" s="19" t="inlineStr">
        <is>
          <t>91S313312</t>
        </is>
      </c>
      <c r="N48" s="2">
        <f>IF(E48="","Waiting","Calibrated")</f>
        <v/>
      </c>
      <c r="O48" s="2" t="n"/>
      <c r="P48" s="2" t="inlineStr">
        <is>
          <t>ZM06</t>
        </is>
      </c>
      <c r="Q48" s="2" t="n"/>
      <c r="R48" s="28" t="n"/>
      <c r="S48" s="31" t="n"/>
      <c r="T48" s="32" t="n"/>
    </row>
    <row r="49" ht="30" customFormat="1" customHeight="1" s="5">
      <c r="A49" s="17" t="n">
        <v>47</v>
      </c>
      <c r="B49" s="17" t="inlineStr">
        <is>
          <t>KIPP10</t>
        </is>
      </c>
      <c r="C49" s="2" t="inlineStr">
        <is>
          <t>10LAB16CP101</t>
        </is>
      </c>
      <c r="D49" s="14" t="inlineStr">
        <is>
          <t>CPH PUMP-A DISCHARGE PRESS.</t>
        </is>
      </c>
      <c r="E49" s="37" t="n"/>
      <c r="F49" s="103" t="n">
        <v>-1</v>
      </c>
      <c r="G49" s="103" t="n">
        <v>100</v>
      </c>
      <c r="H49" s="103" t="n">
        <v>0</v>
      </c>
      <c r="I49" s="103" t="n">
        <v>39</v>
      </c>
      <c r="J49" s="4" t="inlineStr">
        <is>
          <t>Bar</t>
        </is>
      </c>
      <c r="K49" s="19" t="inlineStr">
        <is>
          <t>YOKOGAWA</t>
        </is>
      </c>
      <c r="L49" s="19" t="inlineStr">
        <is>
          <t>EJA530E</t>
        </is>
      </c>
      <c r="M49" s="19" t="inlineStr">
        <is>
          <t>91S213304</t>
        </is>
      </c>
      <c r="N49" s="2">
        <f>IF(E49="","Waiting","Calibrated")</f>
        <v/>
      </c>
      <c r="O49" s="2" t="n"/>
      <c r="P49" s="2" t="inlineStr">
        <is>
          <t>ZM06</t>
        </is>
      </c>
      <c r="Q49" s="2" t="n"/>
      <c r="R49" s="28" t="n"/>
      <c r="S49" s="31" t="n"/>
      <c r="T49" s="32" t="n"/>
    </row>
    <row r="50" ht="30" customFormat="1" customHeight="1" s="5">
      <c r="A50" s="17" t="n">
        <v>48</v>
      </c>
      <c r="B50" s="17" t="inlineStr">
        <is>
          <t>KIPP10</t>
        </is>
      </c>
      <c r="C50" s="2" t="inlineStr">
        <is>
          <t>10LAB17CP101</t>
        </is>
      </c>
      <c r="D50" s="14" t="inlineStr">
        <is>
          <t>CPH PUMP-B DISCHARGE PRESS.</t>
        </is>
      </c>
      <c r="E50" s="37" t="n"/>
      <c r="F50" s="103" t="n">
        <v>-1</v>
      </c>
      <c r="G50" s="103" t="n">
        <v>100</v>
      </c>
      <c r="H50" s="103" t="n">
        <v>0</v>
      </c>
      <c r="I50" s="103" t="n">
        <v>39</v>
      </c>
      <c r="J50" s="4" t="inlineStr">
        <is>
          <t>Bar</t>
        </is>
      </c>
      <c r="K50" s="19" t="inlineStr">
        <is>
          <t>YOKOGAWA</t>
        </is>
      </c>
      <c r="L50" s="19" t="inlineStr">
        <is>
          <t>EJA530E</t>
        </is>
      </c>
      <c r="M50" s="19" t="inlineStr">
        <is>
          <t>91S313305</t>
        </is>
      </c>
      <c r="N50" s="2">
        <f>IF(E50="","Waiting","Calibrated")</f>
        <v/>
      </c>
      <c r="O50" s="2" t="n"/>
      <c r="P50" s="2" t="inlineStr">
        <is>
          <t>ZM06</t>
        </is>
      </c>
      <c r="Q50" s="2" t="n"/>
      <c r="R50" s="28" t="n"/>
      <c r="S50" s="28" t="n"/>
      <c r="T50" s="32" t="n"/>
    </row>
    <row r="51" ht="30" customFormat="1" customHeight="1" s="5">
      <c r="A51" s="17" t="n">
        <v>49</v>
      </c>
      <c r="B51" s="17" t="inlineStr">
        <is>
          <t>KIPP10</t>
        </is>
      </c>
      <c r="C51" s="2" t="inlineStr">
        <is>
          <t>10LAB18CP101</t>
        </is>
      </c>
      <c r="D51" s="14" t="inlineStr">
        <is>
          <t>CPH PUMP-C DISCHARGE PRESS.</t>
        </is>
      </c>
      <c r="E51" s="37" t="n"/>
      <c r="F51" s="103" t="n">
        <v>-1</v>
      </c>
      <c r="G51" s="103" t="n">
        <v>100</v>
      </c>
      <c r="H51" s="103" t="n">
        <v>0</v>
      </c>
      <c r="I51" s="103" t="n">
        <v>39</v>
      </c>
      <c r="J51" s="4" t="inlineStr">
        <is>
          <t>Bar</t>
        </is>
      </c>
      <c r="K51" s="19" t="inlineStr">
        <is>
          <t>YOKOGAWA</t>
        </is>
      </c>
      <c r="L51" s="19" t="inlineStr">
        <is>
          <t>EJA530E</t>
        </is>
      </c>
      <c r="M51" s="19" t="inlineStr">
        <is>
          <t>91S313306</t>
        </is>
      </c>
      <c r="N51" s="2">
        <f>IF(E51="","Waiting","Calibrated")</f>
        <v/>
      </c>
      <c r="O51" s="2" t="n"/>
      <c r="P51" s="2" t="inlineStr">
        <is>
          <t>ZM06</t>
        </is>
      </c>
      <c r="Q51" s="2" t="n"/>
      <c r="R51" s="28" t="n"/>
      <c r="S51" s="28" t="n"/>
      <c r="T51" s="32" t="n"/>
    </row>
    <row r="52" ht="30" customFormat="1" customHeight="1" s="5">
      <c r="A52" s="17" t="n">
        <v>50</v>
      </c>
      <c r="B52" s="17" t="inlineStr">
        <is>
          <t>KIPP10</t>
        </is>
      </c>
      <c r="C52" s="2" t="inlineStr">
        <is>
          <t>10LAB24CF101</t>
        </is>
      </c>
      <c r="D52" s="14" t="inlineStr">
        <is>
          <t>CRH STEAM BYPASS SPRAYAY WATER FT</t>
        </is>
      </c>
      <c r="E52" s="37" t="n">
        <v>46097</v>
      </c>
      <c r="F52" s="103" t="n">
        <v>-10197.2</v>
      </c>
      <c r="G52" s="103" t="n">
        <v>10197.2</v>
      </c>
      <c r="H52" s="103" t="n">
        <v>0</v>
      </c>
      <c r="I52" s="103" t="n">
        <v>2500</v>
      </c>
      <c r="J52" s="4" t="inlineStr">
        <is>
          <t>mmH2O</t>
        </is>
      </c>
      <c r="K52" s="19" t="inlineStr">
        <is>
          <t>YOKOGAWA</t>
        </is>
      </c>
      <c r="L52" s="19" t="inlineStr">
        <is>
          <t>EJA110E</t>
        </is>
      </c>
      <c r="M52" s="19" t="inlineStr">
        <is>
          <t>91S313064</t>
        </is>
      </c>
      <c r="N52" s="2">
        <f>IF(E52="","Waiting","Calibrated")</f>
        <v/>
      </c>
      <c r="O52" s="2" t="n"/>
      <c r="P52" s="2" t="inlineStr">
        <is>
          <t>ZM06</t>
        </is>
      </c>
      <c r="Q52" s="2" t="n"/>
      <c r="R52" s="28" t="n"/>
      <c r="S52" s="28" t="n"/>
      <c r="T52" s="32" t="n"/>
    </row>
    <row r="53" ht="30" customFormat="1" customHeight="1" s="5">
      <c r="A53" s="17" t="n">
        <v>51</v>
      </c>
      <c r="B53" s="17" t="inlineStr">
        <is>
          <t>KIPP10</t>
        </is>
      </c>
      <c r="C53" s="2" t="inlineStr">
        <is>
          <t>10LAB30CP101</t>
        </is>
      </c>
      <c r="D53" s="14" t="inlineStr">
        <is>
          <t>BOILER FEED WATER PUMP IP DISCHARGE PT-A</t>
        </is>
      </c>
      <c r="E53" s="37" t="n"/>
      <c r="F53" s="103" t="n">
        <v>-1</v>
      </c>
      <c r="G53" s="103" t="n">
        <v>500</v>
      </c>
      <c r="H53" s="103" t="n">
        <v>0</v>
      </c>
      <c r="I53" s="103" t="n">
        <v>81</v>
      </c>
      <c r="J53" s="4" t="inlineStr">
        <is>
          <t>Bar</t>
        </is>
      </c>
      <c r="K53" s="19" t="inlineStr">
        <is>
          <t>YOKOGAWA</t>
        </is>
      </c>
      <c r="L53" s="19" t="inlineStr">
        <is>
          <t>EJA530E</t>
        </is>
      </c>
      <c r="M53" s="19" t="inlineStr">
        <is>
          <t>91S313218</t>
        </is>
      </c>
      <c r="N53" s="2">
        <f>IF(E53="","Waiting","Calibrated")</f>
        <v/>
      </c>
      <c r="O53" s="2" t="n"/>
      <c r="P53" s="2" t="inlineStr">
        <is>
          <t>ZM06</t>
        </is>
      </c>
      <c r="Q53" s="2" t="n"/>
      <c r="R53" s="28" t="n"/>
      <c r="S53" s="28" t="inlineStr">
        <is>
          <t>10LAB10GH101</t>
        </is>
      </c>
      <c r="T53" s="32" t="n"/>
    </row>
    <row r="54" ht="30" customFormat="1" customHeight="1" s="5">
      <c r="A54" s="17" t="n">
        <v>52</v>
      </c>
      <c r="B54" s="17" t="inlineStr">
        <is>
          <t>KIPP10</t>
        </is>
      </c>
      <c r="C54" s="2" t="inlineStr">
        <is>
          <t>10LAB30CP102</t>
        </is>
      </c>
      <c r="D54" s="14" t="inlineStr">
        <is>
          <t>BOILER FEED WATER PUMP IP DISCHARGE PT-B</t>
        </is>
      </c>
      <c r="E54" s="37" t="n"/>
      <c r="F54" s="103" t="n">
        <v>-1</v>
      </c>
      <c r="G54" s="103" t="n">
        <v>500</v>
      </c>
      <c r="H54" s="103" t="n">
        <v>0</v>
      </c>
      <c r="I54" s="103" t="n">
        <v>81</v>
      </c>
      <c r="J54" s="4" t="inlineStr">
        <is>
          <t>Bar</t>
        </is>
      </c>
      <c r="K54" s="19" t="inlineStr">
        <is>
          <t>YOKOGAWA</t>
        </is>
      </c>
      <c r="L54" s="19" t="inlineStr">
        <is>
          <t>EJA530E</t>
        </is>
      </c>
      <c r="M54" s="19" t="inlineStr">
        <is>
          <t>91S313220</t>
        </is>
      </c>
      <c r="N54" s="2">
        <f>IF(E54="","Waiting","Calibrated")</f>
        <v/>
      </c>
      <c r="O54" s="2" t="n"/>
      <c r="P54" s="2" t="inlineStr">
        <is>
          <t>ZM06</t>
        </is>
      </c>
      <c r="Q54" s="2" t="n"/>
      <c r="R54" s="28" t="n"/>
      <c r="S54" s="28" t="inlineStr">
        <is>
          <t>10LAB10GH101</t>
        </is>
      </c>
      <c r="T54" s="32" t="n"/>
    </row>
    <row r="55" ht="30" customFormat="1" customHeight="1" s="5">
      <c r="A55" s="17" t="n">
        <v>53</v>
      </c>
      <c r="B55" s="17" t="inlineStr">
        <is>
          <t>KIPP10</t>
        </is>
      </c>
      <c r="C55" s="2" t="inlineStr">
        <is>
          <t>10LAB31CP101</t>
        </is>
      </c>
      <c r="D55" s="14" t="inlineStr">
        <is>
          <t>BFWP A  IP DISCHARGE PRESS.</t>
        </is>
      </c>
      <c r="E55" s="37" t="n"/>
      <c r="F55" s="103" t="n">
        <v>-1</v>
      </c>
      <c r="G55" s="103" t="n">
        <v>100</v>
      </c>
      <c r="H55" s="103" t="n">
        <v>0</v>
      </c>
      <c r="I55" s="103" t="n">
        <v>81</v>
      </c>
      <c r="J55" s="4" t="inlineStr">
        <is>
          <t>Bar</t>
        </is>
      </c>
      <c r="K55" s="19" t="inlineStr">
        <is>
          <t>YOKOGAWA</t>
        </is>
      </c>
      <c r="L55" s="19" t="inlineStr">
        <is>
          <t>EJA530E</t>
        </is>
      </c>
      <c r="M55" s="19" t="inlineStr">
        <is>
          <t>91S313299</t>
        </is>
      </c>
      <c r="N55" s="2">
        <f>IF(E55="","Waiting","Calibrated")</f>
        <v/>
      </c>
      <c r="O55" s="2" t="n"/>
      <c r="P55" s="2" t="inlineStr">
        <is>
          <t>ZM06</t>
        </is>
      </c>
      <c r="Q55" s="2" t="n"/>
      <c r="R55" s="28" t="n"/>
      <c r="S55" s="28" t="n"/>
      <c r="T55" s="32" t="n"/>
    </row>
    <row r="56" ht="30" customFormat="1" customHeight="1" s="5">
      <c r="A56" s="17" t="n">
        <v>54</v>
      </c>
      <c r="B56" s="17" t="inlineStr">
        <is>
          <t>KIPP10</t>
        </is>
      </c>
      <c r="C56" s="2" t="inlineStr">
        <is>
          <t>10LAB32CP101</t>
        </is>
      </c>
      <c r="D56" s="14" t="inlineStr">
        <is>
          <t>BFWP B IP DISCHARGE PRESS.</t>
        </is>
      </c>
      <c r="E56" s="37" t="n"/>
      <c r="F56" s="103" t="n">
        <v>-1</v>
      </c>
      <c r="G56" s="103" t="n">
        <v>100</v>
      </c>
      <c r="H56" s="103" t="n">
        <v>0</v>
      </c>
      <c r="I56" s="103" t="n">
        <v>81</v>
      </c>
      <c r="J56" s="4" t="inlineStr">
        <is>
          <t>Bar</t>
        </is>
      </c>
      <c r="K56" s="19" t="inlineStr">
        <is>
          <t>YOKOGAWA</t>
        </is>
      </c>
      <c r="L56" s="19" t="inlineStr">
        <is>
          <t>EJA530E</t>
        </is>
      </c>
      <c r="M56" s="19" t="inlineStr">
        <is>
          <t>91S313300</t>
        </is>
      </c>
      <c r="N56" s="2">
        <f>IF(E56="","Waiting","Calibrated")</f>
        <v/>
      </c>
      <c r="O56" s="2" t="n"/>
      <c r="P56" s="2" t="inlineStr">
        <is>
          <t>ZM06</t>
        </is>
      </c>
      <c r="Q56" s="2" t="n"/>
      <c r="R56" s="28" t="n"/>
      <c r="S56" s="28" t="n"/>
      <c r="T56" s="32" t="n"/>
    </row>
    <row r="57" ht="30" customFormat="1" customHeight="1" s="5">
      <c r="A57" s="17" t="n">
        <v>55</v>
      </c>
      <c r="B57" s="17" t="inlineStr">
        <is>
          <t>KIPP10</t>
        </is>
      </c>
      <c r="C57" s="2" t="inlineStr">
        <is>
          <t>10LAB33CP101</t>
        </is>
      </c>
      <c r="D57" s="14" t="inlineStr">
        <is>
          <t>BFWP C IP DISCHARGE PRESS.</t>
        </is>
      </c>
      <c r="E57" s="37" t="n"/>
      <c r="F57" s="103" t="n">
        <v>-1</v>
      </c>
      <c r="G57" s="103" t="n">
        <v>100</v>
      </c>
      <c r="H57" s="103" t="n">
        <v>0</v>
      </c>
      <c r="I57" s="103" t="n">
        <v>81</v>
      </c>
      <c r="J57" s="4" t="inlineStr">
        <is>
          <t>Bar</t>
        </is>
      </c>
      <c r="K57" s="19" t="inlineStr">
        <is>
          <t>YOKOGAWA</t>
        </is>
      </c>
      <c r="L57" s="19" t="inlineStr">
        <is>
          <t>EJA530E</t>
        </is>
      </c>
      <c r="M57" s="19" t="inlineStr">
        <is>
          <t>91S313301</t>
        </is>
      </c>
      <c r="N57" s="2">
        <f>IF(E57="","Waiting","Calibrated")</f>
        <v/>
      </c>
      <c r="O57" s="2" t="n"/>
      <c r="P57" s="2" t="inlineStr">
        <is>
          <t>ZM06</t>
        </is>
      </c>
      <c r="Q57" s="2" t="n"/>
      <c r="R57" s="28" t="n"/>
      <c r="S57" s="28" t="n"/>
      <c r="T57" s="32" t="n"/>
    </row>
    <row r="58" ht="30" customFormat="1" customHeight="1" s="5">
      <c r="A58" s="17" t="n">
        <v>56</v>
      </c>
      <c r="B58" s="17" t="inlineStr">
        <is>
          <t>KIPP10</t>
        </is>
      </c>
      <c r="C58" s="2" t="inlineStr">
        <is>
          <t>10LBA10CP001</t>
        </is>
      </c>
      <c r="D58" s="14" t="inlineStr">
        <is>
          <t>P LP STEAM BFR ST</t>
        </is>
      </c>
      <c r="E58" s="37" t="n">
        <v>46104</v>
      </c>
      <c r="F58" s="103" t="n">
        <v>-1</v>
      </c>
      <c r="G58" s="103" t="n">
        <v>20</v>
      </c>
      <c r="H58" s="103" t="n">
        <v>-1</v>
      </c>
      <c r="I58" s="103" t="n">
        <v>10</v>
      </c>
      <c r="J58" s="4" t="inlineStr">
        <is>
          <t>Bar</t>
        </is>
      </c>
      <c r="K58" s="19" t="inlineStr">
        <is>
          <t>YOKOGAWA</t>
        </is>
      </c>
      <c r="L58" s="19" t="inlineStr">
        <is>
          <t>EJA530E</t>
        </is>
      </c>
      <c r="M58" s="19" t="inlineStr">
        <is>
          <t>91S313251</t>
        </is>
      </c>
      <c r="N58" s="2">
        <f>IF(E58="","Waiting","Calibrated")</f>
        <v/>
      </c>
      <c r="O58" s="2" t="n"/>
      <c r="P58" s="2" t="inlineStr">
        <is>
          <t>ZM06</t>
        </is>
      </c>
      <c r="Q58" s="2" t="n"/>
      <c r="R58" s="28" t="n"/>
      <c r="S58" s="28" t="n"/>
      <c r="T58" s="32" t="n"/>
    </row>
    <row r="59" ht="30" customFormat="1" customHeight="1" s="5">
      <c r="A59" s="17" t="n">
        <v>57</v>
      </c>
      <c r="B59" s="17" t="inlineStr">
        <is>
          <t>KIPP10</t>
        </is>
      </c>
      <c r="C59" s="2" t="inlineStr">
        <is>
          <t>10LBA10CP002</t>
        </is>
      </c>
      <c r="D59" s="14" t="inlineStr">
        <is>
          <t>P LP STEAM BFR ST</t>
        </is>
      </c>
      <c r="E59" s="37" t="n">
        <v>46104</v>
      </c>
      <c r="F59" s="103" t="n">
        <v>-1</v>
      </c>
      <c r="G59" s="103" t="n">
        <v>20</v>
      </c>
      <c r="H59" s="103" t="n">
        <v>-1</v>
      </c>
      <c r="I59" s="103" t="n">
        <v>10</v>
      </c>
      <c r="J59" s="4" t="inlineStr">
        <is>
          <t>Bar</t>
        </is>
      </c>
      <c r="K59" s="19" t="inlineStr">
        <is>
          <t>YOKOGAWA</t>
        </is>
      </c>
      <c r="L59" s="19" t="inlineStr">
        <is>
          <t>EJA530E</t>
        </is>
      </c>
      <c r="M59" s="19" t="inlineStr">
        <is>
          <t>91S313252</t>
        </is>
      </c>
      <c r="N59" s="2">
        <f>IF(E59="","Waiting","Calibrated")</f>
        <v/>
      </c>
      <c r="O59" s="2" t="n"/>
      <c r="P59" s="2" t="inlineStr">
        <is>
          <t>ZM06</t>
        </is>
      </c>
      <c r="Q59" s="2" t="n"/>
      <c r="R59" s="28" t="n"/>
      <c r="S59" s="28" t="n"/>
      <c r="T59" s="32" t="n"/>
    </row>
    <row r="60" ht="30" customFormat="1" customHeight="1" s="5">
      <c r="A60" s="17" t="n">
        <v>58</v>
      </c>
      <c r="B60" s="17" t="inlineStr">
        <is>
          <t>KIPP10</t>
        </is>
      </c>
      <c r="C60" s="2" t="inlineStr">
        <is>
          <t>10LBA50CP001</t>
        </is>
      </c>
      <c r="D60" s="14" t="inlineStr">
        <is>
          <t>P HP STEAM BFR ST</t>
        </is>
      </c>
      <c r="E60" s="37" t="n">
        <v>46099</v>
      </c>
      <c r="F60" s="103" t="n">
        <v>-1</v>
      </c>
      <c r="G60" s="103" t="n">
        <v>500</v>
      </c>
      <c r="H60" s="103" t="n">
        <v>-1</v>
      </c>
      <c r="I60" s="103" t="n">
        <v>150</v>
      </c>
      <c r="J60" s="4" t="inlineStr">
        <is>
          <t>Bar</t>
        </is>
      </c>
      <c r="K60" s="19" t="inlineStr">
        <is>
          <t>YOKOGAWA</t>
        </is>
      </c>
      <c r="L60" s="19" t="inlineStr">
        <is>
          <t>EJA530E</t>
        </is>
      </c>
      <c r="M60" s="19" t="inlineStr">
        <is>
          <t>91S313322</t>
        </is>
      </c>
      <c r="N60" s="2">
        <f>IF(E60="","Waiting","Calibrated")</f>
        <v/>
      </c>
      <c r="O60" s="2" t="n"/>
      <c r="P60" s="2" t="inlineStr">
        <is>
          <t>ZM06</t>
        </is>
      </c>
      <c r="Q60" s="2" t="n"/>
      <c r="R60" s="28" t="n"/>
      <c r="S60" s="28" t="inlineStr">
        <is>
          <t>STG BINASI ZEMIN</t>
        </is>
      </c>
      <c r="T60" s="32" t="n"/>
    </row>
    <row r="61" ht="30" customFormat="1" customHeight="1" s="5">
      <c r="A61" s="17" t="n">
        <v>59</v>
      </c>
      <c r="B61" s="17" t="inlineStr">
        <is>
          <t>KIPP10</t>
        </is>
      </c>
      <c r="C61" s="2" t="inlineStr">
        <is>
          <t>10LBA50CP002</t>
        </is>
      </c>
      <c r="D61" s="14" t="inlineStr">
        <is>
          <t>P HP STEAM BFR ST</t>
        </is>
      </c>
      <c r="E61" s="37" t="n">
        <v>46099</v>
      </c>
      <c r="F61" s="103" t="n">
        <v>-1</v>
      </c>
      <c r="G61" s="103" t="n">
        <v>500</v>
      </c>
      <c r="H61" s="103" t="n">
        <v>-1</v>
      </c>
      <c r="I61" s="103" t="n">
        <v>150</v>
      </c>
      <c r="J61" s="4" t="inlineStr">
        <is>
          <t>Bar</t>
        </is>
      </c>
      <c r="K61" s="19" t="inlineStr">
        <is>
          <t>YOKOGAWA</t>
        </is>
      </c>
      <c r="L61" s="19" t="inlineStr">
        <is>
          <t>EJA530E</t>
        </is>
      </c>
      <c r="M61" s="19" t="inlineStr">
        <is>
          <t>91S313323</t>
        </is>
      </c>
      <c r="N61" s="2">
        <f>IF(E61="","Waiting","Calibrated")</f>
        <v/>
      </c>
      <c r="O61" s="2" t="n"/>
      <c r="P61" s="2" t="inlineStr">
        <is>
          <t>ZM06</t>
        </is>
      </c>
      <c r="Q61" s="2" t="n"/>
      <c r="R61" s="28" t="n"/>
      <c r="S61" s="28" t="inlineStr">
        <is>
          <t>STG BINASI ZEMIN</t>
        </is>
      </c>
      <c r="T61" s="32" t="n"/>
    </row>
    <row r="62" ht="30" customFormat="1" customHeight="1" s="5">
      <c r="A62" s="17" t="n">
        <v>60</v>
      </c>
      <c r="B62" s="17" t="inlineStr">
        <is>
          <t>KIPP10</t>
        </is>
      </c>
      <c r="C62" s="2" t="inlineStr">
        <is>
          <t>10LBB41CP001</t>
        </is>
      </c>
      <c r="D62" s="14" t="inlineStr">
        <is>
          <t>P IP STEAM BFR ST</t>
        </is>
      </c>
      <c r="E62" s="37" t="n">
        <v>46099</v>
      </c>
      <c r="F62" s="103" t="n">
        <v>-1</v>
      </c>
      <c r="G62" s="103" t="n">
        <v>100</v>
      </c>
      <c r="H62" s="103" t="n">
        <v>-1</v>
      </c>
      <c r="I62" s="103" t="n">
        <v>40</v>
      </c>
      <c r="J62" s="4" t="inlineStr">
        <is>
          <t>Bar</t>
        </is>
      </c>
      <c r="K62" s="19" t="inlineStr">
        <is>
          <t>YOKOGAWA</t>
        </is>
      </c>
      <c r="L62" s="19" t="inlineStr">
        <is>
          <t>EJA530E</t>
        </is>
      </c>
      <c r="M62" s="19" t="inlineStr">
        <is>
          <t>91S313307</t>
        </is>
      </c>
      <c r="N62" s="2">
        <f>IF(E62="","Waiting","Calibrated")</f>
        <v/>
      </c>
      <c r="O62" s="2" t="n"/>
      <c r="P62" s="2" t="inlineStr">
        <is>
          <t>ZM06</t>
        </is>
      </c>
      <c r="Q62" s="2" t="n"/>
      <c r="R62" s="28" t="n"/>
      <c r="S62" s="28" t="n"/>
      <c r="T62" s="32" t="n"/>
    </row>
    <row r="63" ht="30" customFormat="1" customHeight="1" s="5">
      <c r="A63" s="17" t="n">
        <v>61</v>
      </c>
      <c r="B63" s="17" t="inlineStr">
        <is>
          <t>KIPP10</t>
        </is>
      </c>
      <c r="C63" s="2" t="inlineStr">
        <is>
          <t>10LBB42CP001</t>
        </is>
      </c>
      <c r="D63" s="14" t="inlineStr">
        <is>
          <t>P IP STEAM BFR ST</t>
        </is>
      </c>
      <c r="E63" s="37" t="n">
        <v>46099</v>
      </c>
      <c r="F63" s="103" t="n">
        <v>-1</v>
      </c>
      <c r="G63" s="103" t="n">
        <v>100</v>
      </c>
      <c r="H63" s="103" t="n">
        <v>-1</v>
      </c>
      <c r="I63" s="103" t="n">
        <v>40</v>
      </c>
      <c r="J63" s="4" t="inlineStr">
        <is>
          <t>Bar</t>
        </is>
      </c>
      <c r="K63" s="19" t="inlineStr">
        <is>
          <t>YOKOGAWA</t>
        </is>
      </c>
      <c r="L63" s="19" t="inlineStr">
        <is>
          <t>EJA530E</t>
        </is>
      </c>
      <c r="M63" s="19" t="inlineStr">
        <is>
          <t>91S313308</t>
        </is>
      </c>
      <c r="N63" s="2">
        <f>IF(E63="","Waiting","Calibrated")</f>
        <v/>
      </c>
      <c r="O63" s="2" t="n"/>
      <c r="P63" s="2" t="inlineStr">
        <is>
          <t>ZM06</t>
        </is>
      </c>
      <c r="Q63" s="2" t="n"/>
      <c r="R63" s="28" t="n"/>
      <c r="S63" s="28" t="n"/>
      <c r="T63" s="32" t="n"/>
    </row>
    <row r="64" ht="30" customFormat="1" customHeight="1" s="5">
      <c r="A64" s="17" t="n">
        <v>62</v>
      </c>
      <c r="B64" s="17" t="inlineStr">
        <is>
          <t>KIPP10</t>
        </is>
      </c>
      <c r="C64" s="2" t="inlineStr">
        <is>
          <t>10LBC10CP001</t>
        </is>
      </c>
      <c r="D64" s="14" t="inlineStr">
        <is>
          <t>P CLD RH STEAM AFT ST</t>
        </is>
      </c>
      <c r="E64" s="37" t="n">
        <v>46099</v>
      </c>
      <c r="F64" s="103" t="n">
        <v>-1</v>
      </c>
      <c r="G64" s="103" t="n">
        <v>100</v>
      </c>
      <c r="H64" s="103" t="n">
        <v>-1</v>
      </c>
      <c r="I64" s="103" t="n">
        <v>50</v>
      </c>
      <c r="J64" s="4" t="inlineStr">
        <is>
          <t>Bar</t>
        </is>
      </c>
      <c r="K64" s="19" t="inlineStr">
        <is>
          <t>YOKOGAWA</t>
        </is>
      </c>
      <c r="L64" s="19" t="inlineStr">
        <is>
          <t>EJA530E</t>
        </is>
      </c>
      <c r="M64" s="19" t="inlineStr">
        <is>
          <t>91S313289</t>
        </is>
      </c>
      <c r="N64" s="2">
        <f>IF(E64="","Waiting","Calibrated")</f>
        <v/>
      </c>
      <c r="O64" s="2" t="n"/>
      <c r="P64" s="2" t="inlineStr">
        <is>
          <t>ZM06</t>
        </is>
      </c>
      <c r="Q64" s="2" t="n"/>
      <c r="R64" s="28" t="n"/>
      <c r="S64" s="28" t="n"/>
      <c r="T64" s="32" t="n"/>
    </row>
    <row r="65" ht="30" customFormat="1" customHeight="1" s="5">
      <c r="A65" s="17" t="n">
        <v>63</v>
      </c>
      <c r="B65" s="17" t="inlineStr">
        <is>
          <t>KIPP10</t>
        </is>
      </c>
      <c r="C65" s="2" t="inlineStr">
        <is>
          <t>10LBC10CP002</t>
        </is>
      </c>
      <c r="D65" s="14" t="inlineStr">
        <is>
          <t>P CLD RH STEAM AFT ST</t>
        </is>
      </c>
      <c r="E65" s="37" t="n">
        <v>46099</v>
      </c>
      <c r="F65" s="103" t="n">
        <v>-1</v>
      </c>
      <c r="G65" s="103" t="n">
        <v>100</v>
      </c>
      <c r="H65" s="103" t="n">
        <v>-1</v>
      </c>
      <c r="I65" s="103" t="n">
        <v>50</v>
      </c>
      <c r="J65" s="4" t="inlineStr">
        <is>
          <t>Bar</t>
        </is>
      </c>
      <c r="K65" s="19" t="inlineStr">
        <is>
          <t>YOKOGAWA</t>
        </is>
      </c>
      <c r="L65" s="19" t="inlineStr">
        <is>
          <t>EJA530E</t>
        </is>
      </c>
      <c r="M65" s="19" t="inlineStr">
        <is>
          <t>91S313290</t>
        </is>
      </c>
      <c r="N65" s="2">
        <f>IF(E65="","Waiting","Calibrated")</f>
        <v/>
      </c>
      <c r="O65" s="2" t="n"/>
      <c r="P65" s="2" t="inlineStr">
        <is>
          <t>ZM06</t>
        </is>
      </c>
      <c r="Q65" s="2" t="n"/>
      <c r="R65" s="28" t="n"/>
      <c r="S65" s="28" t="n"/>
      <c r="T65" s="32" t="n"/>
    </row>
    <row r="66" ht="30" customFormat="1" customHeight="1" s="5">
      <c r="A66" s="17" t="n">
        <v>64</v>
      </c>
      <c r="B66" s="17" t="inlineStr">
        <is>
          <t>KIPP10</t>
        </is>
      </c>
      <c r="C66" s="2" t="inlineStr">
        <is>
          <t>10LBC10CP003</t>
        </is>
      </c>
      <c r="D66" s="14" t="inlineStr">
        <is>
          <t>P CLD RH STEAM AFT ST</t>
        </is>
      </c>
      <c r="E66" s="37" t="n">
        <v>46099</v>
      </c>
      <c r="F66" s="103" t="n">
        <v>-1</v>
      </c>
      <c r="G66" s="103" t="n">
        <v>100</v>
      </c>
      <c r="H66" s="103" t="n">
        <v>-1</v>
      </c>
      <c r="I66" s="103" t="n">
        <v>50</v>
      </c>
      <c r="J66" s="4" t="inlineStr">
        <is>
          <t>Bar</t>
        </is>
      </c>
      <c r="K66" s="19" t="inlineStr">
        <is>
          <t>YOKOGAWA</t>
        </is>
      </c>
      <c r="L66" s="19" t="inlineStr">
        <is>
          <t>EJA530E</t>
        </is>
      </c>
      <c r="M66" s="19" t="inlineStr">
        <is>
          <t>91S313291</t>
        </is>
      </c>
      <c r="N66" s="2">
        <f>IF(E66="","Waiting","Calibrated")</f>
        <v/>
      </c>
      <c r="O66" s="2" t="n"/>
      <c r="P66" s="2" t="inlineStr">
        <is>
          <t>ZM06</t>
        </is>
      </c>
      <c r="Q66" s="2" t="n"/>
      <c r="R66" s="28" t="n"/>
      <c r="S66" s="28" t="n"/>
      <c r="T66" s="32" t="n"/>
    </row>
    <row r="67" ht="30" customFormat="1" customHeight="1" s="5">
      <c r="A67" s="17" t="n">
        <v>65</v>
      </c>
      <c r="B67" s="17" t="inlineStr">
        <is>
          <t>KIPP10</t>
        </is>
      </c>
      <c r="C67" s="2" t="inlineStr">
        <is>
          <t>10LBC10CP101</t>
        </is>
      </c>
      <c r="D67" s="14" t="inlineStr">
        <is>
          <t>STG 10 COLD REHEAT STEAM PRESS.</t>
        </is>
      </c>
      <c r="E67" s="37" t="n">
        <v>46099</v>
      </c>
      <c r="F67" s="103" t="n">
        <v>-1</v>
      </c>
      <c r="G67" s="103" t="n">
        <v>100</v>
      </c>
      <c r="H67" s="103" t="n">
        <v>0</v>
      </c>
      <c r="I67" s="103" t="n">
        <v>43</v>
      </c>
      <c r="J67" s="4" t="inlineStr">
        <is>
          <t>Bar</t>
        </is>
      </c>
      <c r="K67" s="19" t="inlineStr">
        <is>
          <t>YOKOGAWA</t>
        </is>
      </c>
      <c r="L67" s="19" t="inlineStr">
        <is>
          <t>EJA530E</t>
        </is>
      </c>
      <c r="M67" s="19" t="inlineStr">
        <is>
          <t>91S313286</t>
        </is>
      </c>
      <c r="N67" s="2">
        <f>IF(E67="","Waiting","Calibrated")</f>
        <v/>
      </c>
      <c r="O67" s="2" t="n"/>
      <c r="P67" s="2" t="inlineStr">
        <is>
          <t>ZM06</t>
        </is>
      </c>
      <c r="Q67" s="2" t="n"/>
      <c r="R67" s="28" t="n"/>
      <c r="S67" s="28" t="n"/>
      <c r="T67" s="32" t="n"/>
    </row>
    <row r="68" ht="30" customFormat="1" customHeight="1" s="5">
      <c r="A68" s="17" t="n">
        <v>66</v>
      </c>
      <c r="B68" s="17" t="inlineStr">
        <is>
          <t>KIPP10</t>
        </is>
      </c>
      <c r="C68" s="2" t="inlineStr">
        <is>
          <t>10LBG00CP101</t>
        </is>
      </c>
      <c r="D68" s="14" t="inlineStr">
        <is>
          <t>AUXILIARY STEAM LINE PRESS.</t>
        </is>
      </c>
      <c r="E68" s="37" t="n">
        <v>46104</v>
      </c>
      <c r="F68" s="103" t="n">
        <v>-1</v>
      </c>
      <c r="G68" s="103" t="n">
        <v>100</v>
      </c>
      <c r="H68" s="103" t="n">
        <v>0</v>
      </c>
      <c r="I68" s="103" t="n">
        <v>43</v>
      </c>
      <c r="J68" s="4" t="inlineStr">
        <is>
          <t>Bar</t>
        </is>
      </c>
      <c r="K68" s="19" t="inlineStr">
        <is>
          <t>YOKOGAWA</t>
        </is>
      </c>
      <c r="L68" s="19" t="inlineStr">
        <is>
          <t>EJA530E</t>
        </is>
      </c>
      <c r="M68" s="19" t="inlineStr">
        <is>
          <t>91S313292</t>
        </is>
      </c>
      <c r="N68" s="2">
        <f>IF(E68="","Waiting","Calibrated")</f>
        <v/>
      </c>
      <c r="O68" s="2" t="n"/>
      <c r="P68" s="2" t="inlineStr">
        <is>
          <t>ZM06</t>
        </is>
      </c>
      <c r="Q68" s="2" t="n"/>
      <c r="R68" s="28" t="n"/>
      <c r="S68" s="28" t="n"/>
      <c r="T68" s="32" t="n"/>
    </row>
    <row r="69" ht="30" customFormat="1" customHeight="1" s="5">
      <c r="A69" s="17" t="n">
        <v>67</v>
      </c>
      <c r="B69" s="17" t="inlineStr">
        <is>
          <t>KIPP10</t>
        </is>
      </c>
      <c r="C69" s="2" t="inlineStr">
        <is>
          <t>10LBG00CP102</t>
        </is>
      </c>
      <c r="D69" s="14" t="inlineStr">
        <is>
          <t>AUXILIARY STEAM LINE PRESS.</t>
        </is>
      </c>
      <c r="E69" s="37" t="n">
        <v>46104</v>
      </c>
      <c r="F69" s="103" t="n">
        <v>-1</v>
      </c>
      <c r="G69" s="103" t="n">
        <v>100</v>
      </c>
      <c r="H69" s="103" t="n">
        <v>0</v>
      </c>
      <c r="I69" s="103" t="n">
        <v>43</v>
      </c>
      <c r="J69" s="4" t="inlineStr">
        <is>
          <t>Bar</t>
        </is>
      </c>
      <c r="K69" s="19" t="inlineStr">
        <is>
          <t>YOKOGAWA</t>
        </is>
      </c>
      <c r="L69" s="19" t="inlineStr">
        <is>
          <t>EJA530E</t>
        </is>
      </c>
      <c r="M69" s="19" t="inlineStr">
        <is>
          <t>91S313293</t>
        </is>
      </c>
      <c r="N69" s="2">
        <f>IF(E69="","Waiting","Calibrated")</f>
        <v/>
      </c>
      <c r="O69" s="2" t="n"/>
      <c r="P69" s="2" t="inlineStr">
        <is>
          <t>ZM06</t>
        </is>
      </c>
      <c r="Q69" s="2" t="n"/>
      <c r="R69" s="28" t="n"/>
      <c r="S69" s="28" t="n"/>
      <c r="T69" s="32" t="n"/>
    </row>
    <row r="70" ht="30" customFormat="1" customHeight="1" s="5">
      <c r="A70" s="17" t="n">
        <v>68</v>
      </c>
      <c r="B70" s="17" t="inlineStr">
        <is>
          <t>KIPP10</t>
        </is>
      </c>
      <c r="C70" s="2" t="inlineStr">
        <is>
          <t>10LCA01CP102</t>
        </is>
      </c>
      <c r="D70" s="14" t="inlineStr">
        <is>
          <t>CONDENSATE EXTRACTION PUMP-A SUCTION PT</t>
        </is>
      </c>
      <c r="E70" s="37" t="n"/>
      <c r="F70" s="103" t="n">
        <v>-1</v>
      </c>
      <c r="G70" s="103" t="n">
        <v>20</v>
      </c>
      <c r="H70" s="103" t="n">
        <v>-1</v>
      </c>
      <c r="I70" s="103" t="n">
        <v>3</v>
      </c>
      <c r="J70" s="4" t="inlineStr">
        <is>
          <t>Bar</t>
        </is>
      </c>
      <c r="K70" s="19" t="inlineStr">
        <is>
          <t>YOKOGAWA</t>
        </is>
      </c>
      <c r="L70" s="19" t="inlineStr">
        <is>
          <t>EJA530E</t>
        </is>
      </c>
      <c r="M70" s="19" t="inlineStr">
        <is>
          <t>91S313253</t>
        </is>
      </c>
      <c r="N70" s="2">
        <f>IF(E70="","Waiting","Calibrated")</f>
        <v/>
      </c>
      <c r="O70" s="2" t="n"/>
      <c r="P70" s="2" t="inlineStr">
        <is>
          <t>ZM06</t>
        </is>
      </c>
      <c r="Q70" s="2" t="n"/>
      <c r="R70" s="28" t="n"/>
      <c r="S70" s="28" t="n"/>
      <c r="T70" s="32" t="n"/>
    </row>
    <row r="71" ht="30" customFormat="1" customHeight="1" s="5">
      <c r="A71" s="17" t="n">
        <v>69</v>
      </c>
      <c r="B71" s="17" t="inlineStr">
        <is>
          <t>KIPP10</t>
        </is>
      </c>
      <c r="C71" s="2" t="inlineStr">
        <is>
          <t>10LCA02CP102</t>
        </is>
      </c>
      <c r="D71" s="14" t="inlineStr">
        <is>
          <t>CONDENSATE EXTRACTION PUMP-B SUCTION PT</t>
        </is>
      </c>
      <c r="E71" s="37" t="n"/>
      <c r="F71" s="103" t="n">
        <v>-1</v>
      </c>
      <c r="G71" s="103" t="n">
        <v>20</v>
      </c>
      <c r="H71" s="103" t="n">
        <v>-1</v>
      </c>
      <c r="I71" s="103" t="n">
        <v>3</v>
      </c>
      <c r="J71" s="4" t="inlineStr">
        <is>
          <t>Bar</t>
        </is>
      </c>
      <c r="K71" s="19" t="inlineStr">
        <is>
          <t>YOKOGAWA</t>
        </is>
      </c>
      <c r="L71" s="19" t="inlineStr">
        <is>
          <t>EJA530E</t>
        </is>
      </c>
      <c r="M71" s="19" t="inlineStr">
        <is>
          <t>91S313254</t>
        </is>
      </c>
      <c r="N71" s="2">
        <f>IF(E71="","Waiting","Calibrated")</f>
        <v/>
      </c>
      <c r="O71" s="2" t="n"/>
      <c r="P71" s="2" t="inlineStr">
        <is>
          <t>ZM06</t>
        </is>
      </c>
      <c r="Q71" s="2" t="n"/>
      <c r="R71" s="28" t="n"/>
      <c r="S71" s="28" t="n"/>
      <c r="T71" s="32" t="n"/>
    </row>
    <row r="72" ht="30" customFormat="1" customHeight="1" s="5">
      <c r="A72" s="17" t="n">
        <v>70</v>
      </c>
      <c r="B72" s="17" t="inlineStr">
        <is>
          <t>KIPP10</t>
        </is>
      </c>
      <c r="C72" s="2" t="inlineStr">
        <is>
          <t>10LCA03CP102</t>
        </is>
      </c>
      <c r="D72" s="14" t="inlineStr">
        <is>
          <t>CONDENSATE EXTRACTION PUMP-C SUCTION PT</t>
        </is>
      </c>
      <c r="E72" s="37" t="n"/>
      <c r="F72" s="103" t="n">
        <v>-1</v>
      </c>
      <c r="G72" s="103" t="n">
        <v>20</v>
      </c>
      <c r="H72" s="103" t="n">
        <v>-1</v>
      </c>
      <c r="I72" s="103" t="n">
        <v>3</v>
      </c>
      <c r="J72" s="4" t="inlineStr">
        <is>
          <t>Bar</t>
        </is>
      </c>
      <c r="K72" s="19" t="inlineStr">
        <is>
          <t>YOKOGAWA</t>
        </is>
      </c>
      <c r="L72" s="19" t="inlineStr">
        <is>
          <t>EJA530E</t>
        </is>
      </c>
      <c r="M72" s="19" t="inlineStr">
        <is>
          <t>91S313255</t>
        </is>
      </c>
      <c r="N72" s="2">
        <f>IF(E72="","Waiting","Calibrated")</f>
        <v/>
      </c>
      <c r="O72" s="2" t="n"/>
      <c r="P72" s="2" t="inlineStr">
        <is>
          <t>ZM06</t>
        </is>
      </c>
      <c r="Q72" s="2" t="n"/>
      <c r="R72" s="28" t="n"/>
      <c r="S72" s="28" t="n"/>
      <c r="T72" s="32" t="n"/>
    </row>
    <row r="73" ht="30" customFormat="1" customHeight="1" s="5">
      <c r="A73" s="17" t="n">
        <v>71</v>
      </c>
      <c r="B73" s="17" t="inlineStr">
        <is>
          <t>KIPP10</t>
        </is>
      </c>
      <c r="C73" s="2" t="inlineStr">
        <is>
          <t>10LCA10CF101</t>
        </is>
      </c>
      <c r="D73" s="14" t="inlineStr">
        <is>
          <t>CONDENSATE EXTRACTION PUMP DISCHARGE FT</t>
        </is>
      </c>
      <c r="E73" s="37" t="n"/>
      <c r="F73" s="103" t="n">
        <v>-10197.2</v>
      </c>
      <c r="G73" s="103" t="n">
        <v>10197.2</v>
      </c>
      <c r="H73" s="103" t="n">
        <v>0</v>
      </c>
      <c r="I73" s="103" t="n">
        <v>10000</v>
      </c>
      <c r="J73" s="4" t="inlineStr">
        <is>
          <t>mmH2O</t>
        </is>
      </c>
      <c r="K73" s="19" t="inlineStr">
        <is>
          <t>YOKOGAWA</t>
        </is>
      </c>
      <c r="L73" s="19" t="inlineStr">
        <is>
          <t>EJA110E</t>
        </is>
      </c>
      <c r="M73" s="19" t="inlineStr">
        <is>
          <t>91S313066</t>
        </is>
      </c>
      <c r="N73" s="2">
        <f>IF(E73="","Waiting","Calibrated")</f>
        <v/>
      </c>
      <c r="O73" s="2" t="n"/>
      <c r="P73" s="2" t="inlineStr">
        <is>
          <t>ZM06</t>
        </is>
      </c>
      <c r="Q73" s="2" t="n"/>
      <c r="R73" s="28" t="n"/>
      <c r="S73" s="28" t="n"/>
      <c r="T73" s="32" t="n"/>
    </row>
    <row r="74" ht="30" customFormat="1" customHeight="1" s="5">
      <c r="A74" s="17" t="n">
        <v>72</v>
      </c>
      <c r="B74" s="17" t="inlineStr">
        <is>
          <t>KIPP10</t>
        </is>
      </c>
      <c r="C74" s="2" t="inlineStr">
        <is>
          <t>10LCA10CF102</t>
        </is>
      </c>
      <c r="D74" s="14" t="inlineStr">
        <is>
          <t>CONDENSATE EXTRACTION PUMP DISCHARGE FT</t>
        </is>
      </c>
      <c r="E74" s="37" t="n"/>
      <c r="F74" s="103" t="n">
        <v>-10197.2</v>
      </c>
      <c r="G74" s="103" t="n">
        <v>10197.2</v>
      </c>
      <c r="H74" s="103" t="n">
        <v>0</v>
      </c>
      <c r="I74" s="103" t="n">
        <v>10000</v>
      </c>
      <c r="J74" s="4" t="inlineStr">
        <is>
          <t>mmH2O</t>
        </is>
      </c>
      <c r="K74" s="19" t="inlineStr">
        <is>
          <t>YOKOGAWA</t>
        </is>
      </c>
      <c r="L74" s="19" t="inlineStr">
        <is>
          <t>EJA110E</t>
        </is>
      </c>
      <c r="M74" s="19" t="inlineStr">
        <is>
          <t>91S313101</t>
        </is>
      </c>
      <c r="N74" s="2">
        <f>IF(E74="","Waiting","Calibrated")</f>
        <v/>
      </c>
      <c r="O74" s="2" t="n"/>
      <c r="P74" s="2" t="inlineStr">
        <is>
          <t>ZM06</t>
        </is>
      </c>
      <c r="Q74" s="2" t="n"/>
      <c r="R74" s="28" t="n"/>
      <c r="S74" s="28" t="n"/>
      <c r="T74" s="32" t="n"/>
    </row>
    <row r="75" ht="30" customFormat="1" customHeight="1" s="5">
      <c r="A75" s="17" t="n">
        <v>73</v>
      </c>
      <c r="B75" s="17" t="inlineStr">
        <is>
          <t>KIPP10</t>
        </is>
      </c>
      <c r="C75" s="2" t="inlineStr">
        <is>
          <t>10LCA10CP101</t>
        </is>
      </c>
      <c r="D75" s="14" t="inlineStr">
        <is>
          <t>CONDENSATE EXTRACTION PUMP DISCHARGE PT</t>
        </is>
      </c>
      <c r="E75" s="37" t="n">
        <v>46105</v>
      </c>
      <c r="F75" s="103" t="n">
        <v>-1</v>
      </c>
      <c r="G75" s="103" t="n">
        <v>100</v>
      </c>
      <c r="H75" s="103" t="n">
        <v>0</v>
      </c>
      <c r="I75" s="103" t="n">
        <v>35</v>
      </c>
      <c r="J75" s="4" t="inlineStr">
        <is>
          <t>Bar</t>
        </is>
      </c>
      <c r="K75" s="19" t="inlineStr">
        <is>
          <t>YOKOGAWA</t>
        </is>
      </c>
      <c r="L75" s="19" t="inlineStr">
        <is>
          <t>EJA530E</t>
        </is>
      </c>
      <c r="M75" s="19" t="inlineStr">
        <is>
          <t>91S313297</t>
        </is>
      </c>
      <c r="N75" s="2">
        <f>IF(E75="","Waiting","Calibrated")</f>
        <v/>
      </c>
      <c r="O75" s="2" t="n"/>
      <c r="P75" s="2" t="inlineStr">
        <is>
          <t>ZM06</t>
        </is>
      </c>
      <c r="Q75" s="2" t="n"/>
      <c r="R75" s="28" t="n"/>
      <c r="S75" s="28" t="n"/>
      <c r="T75" s="32" t="n"/>
    </row>
    <row r="76" ht="30" customFormat="1" customHeight="1" s="5">
      <c r="A76" s="17" t="n">
        <v>74</v>
      </c>
      <c r="B76" s="17" t="inlineStr">
        <is>
          <t>KIPP10</t>
        </is>
      </c>
      <c r="C76" s="2" t="inlineStr">
        <is>
          <t>10LCA10CP102</t>
        </is>
      </c>
      <c r="D76" s="14" t="inlineStr">
        <is>
          <t>GLAND STEAM CONDENSER OUTLET PT</t>
        </is>
      </c>
      <c r="E76" s="37" t="n">
        <v>46105</v>
      </c>
      <c r="F76" s="103" t="n">
        <v>-1</v>
      </c>
      <c r="G76" s="103" t="n">
        <v>100</v>
      </c>
      <c r="H76" s="103" t="n">
        <v>0</v>
      </c>
      <c r="I76" s="103" t="n">
        <v>35</v>
      </c>
      <c r="J76" s="4" t="inlineStr">
        <is>
          <t>Bar</t>
        </is>
      </c>
      <c r="K76" s="19" t="inlineStr">
        <is>
          <t>YOKOGAWA</t>
        </is>
      </c>
      <c r="L76" s="19" t="inlineStr">
        <is>
          <t>EJA530E</t>
        </is>
      </c>
      <c r="M76" s="19" t="inlineStr">
        <is>
          <t>91S313298</t>
        </is>
      </c>
      <c r="N76" s="2">
        <f>IF(E76="","Waiting","Calibrated")</f>
        <v/>
      </c>
      <c r="O76" s="2" t="n"/>
      <c r="P76" s="2" t="inlineStr">
        <is>
          <t>ZM06</t>
        </is>
      </c>
      <c r="Q76" s="2" t="n"/>
      <c r="R76" s="28" t="n"/>
      <c r="S76" s="28" t="n"/>
      <c r="T76" s="32" t="n"/>
    </row>
    <row r="77" ht="30" customFormat="1" customHeight="1" s="5">
      <c r="A77" s="17" t="n">
        <v>75</v>
      </c>
      <c r="B77" s="17" t="inlineStr">
        <is>
          <t>KIPP10</t>
        </is>
      </c>
      <c r="C77" s="2" t="inlineStr">
        <is>
          <t>10LCA10CP103</t>
        </is>
      </c>
      <c r="D77" s="14" t="inlineStr">
        <is>
          <t>CONDENSATE EXTRACTION PUMP DISCHARGE PT</t>
        </is>
      </c>
      <c r="E77" s="37" t="n">
        <v>46105</v>
      </c>
      <c r="F77" s="103" t="n">
        <v>-1</v>
      </c>
      <c r="G77" s="103" t="n">
        <v>100</v>
      </c>
      <c r="H77" s="103" t="n">
        <v>0</v>
      </c>
      <c r="I77" s="103" t="n">
        <v>35</v>
      </c>
      <c r="J77" s="4" t="inlineStr">
        <is>
          <t>Bar</t>
        </is>
      </c>
      <c r="K77" s="19" t="inlineStr">
        <is>
          <t>YOKOGAWA</t>
        </is>
      </c>
      <c r="L77" s="19" t="inlineStr">
        <is>
          <t>EJA530E</t>
        </is>
      </c>
      <c r="M77" s="30" t="inlineStr">
        <is>
          <t>91S313310</t>
        </is>
      </c>
      <c r="N77" s="2">
        <f>IF(E77="","Waiting","Calibrated")</f>
        <v/>
      </c>
      <c r="O77" s="2" t="n"/>
      <c r="P77" s="2" t="inlineStr">
        <is>
          <t>ZM06</t>
        </is>
      </c>
      <c r="Q77" s="2" t="n"/>
      <c r="R77" s="28" t="n"/>
      <c r="S77" s="28" t="n"/>
      <c r="T77" s="32" t="n"/>
    </row>
    <row r="78" ht="30" customFormat="1" customHeight="1" s="5">
      <c r="A78" s="17" t="n">
        <v>76</v>
      </c>
      <c r="B78" s="17" t="inlineStr">
        <is>
          <t>KIPP10</t>
        </is>
      </c>
      <c r="C78" s="2" t="inlineStr">
        <is>
          <t>10LCA11CP101</t>
        </is>
      </c>
      <c r="D78" s="14" t="inlineStr">
        <is>
          <t>CEP-A DISCHARGE PRESS.</t>
        </is>
      </c>
      <c r="E78" s="37" t="n"/>
      <c r="F78" s="103" t="n">
        <v>-1</v>
      </c>
      <c r="G78" s="103" t="n">
        <v>100</v>
      </c>
      <c r="H78" s="103" t="n">
        <v>0</v>
      </c>
      <c r="I78" s="103" t="n">
        <v>35</v>
      </c>
      <c r="J78" s="4" t="inlineStr">
        <is>
          <t>Bar</t>
        </is>
      </c>
      <c r="K78" s="19" t="inlineStr">
        <is>
          <t>YOKOGAWA</t>
        </is>
      </c>
      <c r="L78" s="19" t="inlineStr">
        <is>
          <t>EJA530E</t>
        </is>
      </c>
      <c r="M78" s="19" t="inlineStr">
        <is>
          <t>91S313294</t>
        </is>
      </c>
      <c r="N78" s="2">
        <f>IF(E78="","Waiting","Calibrated")</f>
        <v/>
      </c>
      <c r="O78" s="2" t="n"/>
      <c r="P78" s="2" t="inlineStr">
        <is>
          <t>ZM06</t>
        </is>
      </c>
      <c r="Q78" s="2" t="n"/>
      <c r="R78" s="28" t="n"/>
      <c r="S78" s="28" t="n"/>
      <c r="T78" s="32" t="n"/>
    </row>
    <row r="79" ht="30" customFormat="1" customHeight="1" s="5">
      <c r="A79" s="17" t="n">
        <v>77</v>
      </c>
      <c r="B79" s="17" t="inlineStr">
        <is>
          <t>KIPP10</t>
        </is>
      </c>
      <c r="C79" s="2" t="inlineStr">
        <is>
          <t>10LCA12CP101</t>
        </is>
      </c>
      <c r="D79" s="14" t="inlineStr">
        <is>
          <t>CEP-B DISCHARGE PRESS.</t>
        </is>
      </c>
      <c r="E79" s="37" t="n"/>
      <c r="F79" s="103" t="n">
        <v>-1</v>
      </c>
      <c r="G79" s="103" t="n">
        <v>100</v>
      </c>
      <c r="H79" s="103" t="n">
        <v>0</v>
      </c>
      <c r="I79" s="103" t="n">
        <v>35</v>
      </c>
      <c r="J79" s="4" t="inlineStr">
        <is>
          <t>Bar</t>
        </is>
      </c>
      <c r="K79" s="19" t="inlineStr">
        <is>
          <t>YOKOGAWA</t>
        </is>
      </c>
      <c r="L79" s="19" t="inlineStr">
        <is>
          <t>EJA530E</t>
        </is>
      </c>
      <c r="M79" s="19" t="inlineStr">
        <is>
          <t>91S313295</t>
        </is>
      </c>
      <c r="N79" s="2">
        <f>IF(E79="","Waiting","Calibrated")</f>
        <v/>
      </c>
      <c r="O79" s="2" t="n"/>
      <c r="P79" s="2" t="inlineStr">
        <is>
          <t>ZM06</t>
        </is>
      </c>
      <c r="Q79" s="2" t="n"/>
      <c r="R79" s="28" t="n"/>
      <c r="S79" s="28" t="n"/>
      <c r="T79" s="32" t="n"/>
    </row>
    <row r="80" ht="30" customFormat="1" customHeight="1" s="5">
      <c r="A80" s="17" t="n">
        <v>78</v>
      </c>
      <c r="B80" s="17" t="inlineStr">
        <is>
          <t>KIPP10</t>
        </is>
      </c>
      <c r="C80" s="2" t="inlineStr">
        <is>
          <t>10LCA13CP101</t>
        </is>
      </c>
      <c r="D80" s="14" t="inlineStr">
        <is>
          <t>CEP-C DISCHARGE PRESS.</t>
        </is>
      </c>
      <c r="E80" s="37" t="n"/>
      <c r="F80" s="103" t="n">
        <v>-1</v>
      </c>
      <c r="G80" s="103" t="n">
        <v>100</v>
      </c>
      <c r="H80" s="103" t="n">
        <v>0</v>
      </c>
      <c r="I80" s="103" t="n">
        <v>35</v>
      </c>
      <c r="J80" s="4" t="inlineStr">
        <is>
          <t>Bar</t>
        </is>
      </c>
      <c r="K80" s="19" t="inlineStr">
        <is>
          <t>YOKOGAWA</t>
        </is>
      </c>
      <c r="L80" s="19" t="inlineStr">
        <is>
          <t>EJA530E</t>
        </is>
      </c>
      <c r="M80" s="19" t="inlineStr">
        <is>
          <t>91S313296</t>
        </is>
      </c>
      <c r="N80" s="2">
        <f>IF(E80="","Waiting","Calibrated")</f>
        <v/>
      </c>
      <c r="O80" s="2" t="n"/>
      <c r="P80" s="2" t="inlineStr">
        <is>
          <t>ZM06</t>
        </is>
      </c>
      <c r="Q80" s="2" t="n"/>
      <c r="R80" s="28" t="n"/>
      <c r="S80" s="28" t="n"/>
      <c r="T80" s="32" t="n"/>
    </row>
    <row r="81" ht="30" customFormat="1" customHeight="1" s="5">
      <c r="A81" s="17" t="n">
        <v>79</v>
      </c>
      <c r="B81" s="17" t="inlineStr">
        <is>
          <t>KIPP10</t>
        </is>
      </c>
      <c r="C81" s="2" t="inlineStr">
        <is>
          <t>10LCA20CF101</t>
        </is>
      </c>
      <c r="D81" s="14" t="inlineStr">
        <is>
          <t>DEAERATOR &amp; FW STORAGE TANK INLET FT</t>
        </is>
      </c>
      <c r="E81" s="37" t="n"/>
      <c r="F81" s="103" t="n">
        <v>-10197.2</v>
      </c>
      <c r="G81" s="103" t="n">
        <v>10197.2</v>
      </c>
      <c r="H81" s="103" t="n">
        <v>0</v>
      </c>
      <c r="I81" s="103" t="n">
        <v>10000</v>
      </c>
      <c r="J81" s="4" t="inlineStr">
        <is>
          <t>mmH2O</t>
        </is>
      </c>
      <c r="K81" s="19" t="inlineStr">
        <is>
          <t>YOKOGAWA</t>
        </is>
      </c>
      <c r="L81" s="19" t="inlineStr">
        <is>
          <t>EJA110E</t>
        </is>
      </c>
      <c r="M81" s="19" t="inlineStr">
        <is>
          <t>91S313069</t>
        </is>
      </c>
      <c r="N81" s="2">
        <f>IF(E81="","Waiting","Calibrated")</f>
        <v/>
      </c>
      <c r="O81" s="2" t="n"/>
      <c r="P81" s="2" t="inlineStr">
        <is>
          <t>ZM06</t>
        </is>
      </c>
      <c r="Q81" s="2" t="n"/>
      <c r="R81" s="28" t="n"/>
      <c r="S81" s="28" t="n"/>
      <c r="T81" s="32" t="n"/>
    </row>
    <row r="82" ht="30" customFormat="1" customHeight="1" s="5">
      <c r="A82" s="17" t="n">
        <v>80</v>
      </c>
      <c r="B82" s="17" t="inlineStr">
        <is>
          <t>KIPP10</t>
        </is>
      </c>
      <c r="C82" s="2" t="inlineStr">
        <is>
          <t>10MAA10CP001</t>
        </is>
      </c>
      <c r="D82" s="14" t="inlineStr">
        <is>
          <t>P UPSTR HPT BLADING</t>
        </is>
      </c>
      <c r="E82" s="37" t="n"/>
      <c r="F82" s="103" t="n">
        <v>-1.013</v>
      </c>
      <c r="G82" s="103" t="n">
        <v>275.789</v>
      </c>
      <c r="H82" s="103" t="n">
        <v>-1</v>
      </c>
      <c r="I82" s="103" t="n">
        <v>150</v>
      </c>
      <c r="J82" s="4" t="inlineStr">
        <is>
          <t>Bar</t>
        </is>
      </c>
      <c r="K82" s="19" t="inlineStr">
        <is>
          <t>ROSEMOUNT</t>
        </is>
      </c>
      <c r="L82" s="19" t="inlineStr">
        <is>
          <t>3051 PT</t>
        </is>
      </c>
      <c r="M82" s="20" t="n">
        <v>9834864</v>
      </c>
      <c r="N82" s="2">
        <f>IF(E82="","Waiting","Calibrated")</f>
        <v/>
      </c>
      <c r="O82" s="2" t="n"/>
      <c r="P82" s="2" t="inlineStr">
        <is>
          <t>ZM06</t>
        </is>
      </c>
      <c r="Q82" s="2" t="n"/>
      <c r="R82" s="28" t="n"/>
      <c r="S82" s="28" t="n"/>
      <c r="T82" s="32" t="n"/>
    </row>
    <row r="83" ht="30" customFormat="1" customHeight="1" s="5">
      <c r="A83" s="17" t="n">
        <v>81</v>
      </c>
      <c r="B83" s="17" t="inlineStr">
        <is>
          <t>KIPP10</t>
        </is>
      </c>
      <c r="C83" s="2" t="inlineStr">
        <is>
          <t>10MAB10CP001</t>
        </is>
      </c>
      <c r="D83" s="14" t="inlineStr">
        <is>
          <t>P UPSTR IPT BLADING</t>
        </is>
      </c>
      <c r="E83" s="37" t="n"/>
      <c r="F83" s="103" t="n">
        <v>-137.89</v>
      </c>
      <c r="G83" s="103" t="n">
        <v>137.89</v>
      </c>
      <c r="H83" s="103" t="n">
        <v>-1</v>
      </c>
      <c r="I83" s="103" t="n">
        <v>40</v>
      </c>
      <c r="J83" s="4" t="inlineStr">
        <is>
          <t>Bar</t>
        </is>
      </c>
      <c r="K83" s="19" t="inlineStr">
        <is>
          <t>ROSEMOUNT</t>
        </is>
      </c>
      <c r="L83" s="19" t="inlineStr">
        <is>
          <t>3051 PT</t>
        </is>
      </c>
      <c r="M83" s="20" t="n">
        <v>9834862</v>
      </c>
      <c r="N83" s="2">
        <f>IF(E83="","Waiting","Calibrated")</f>
        <v/>
      </c>
      <c r="O83" s="2" t="n"/>
      <c r="P83" s="2" t="inlineStr">
        <is>
          <t>ZM06</t>
        </is>
      </c>
      <c r="Q83" s="2" t="n"/>
      <c r="R83" s="28" t="n"/>
      <c r="S83" s="28" t="n"/>
      <c r="T83" s="32" t="n"/>
    </row>
    <row r="84" ht="30" customFormat="1" customHeight="1" s="5">
      <c r="A84" s="17" t="n">
        <v>82</v>
      </c>
      <c r="B84" s="17" t="inlineStr">
        <is>
          <t>KIPP10</t>
        </is>
      </c>
      <c r="C84" s="2" t="inlineStr">
        <is>
          <t>10MAB10CP002</t>
        </is>
      </c>
      <c r="D84" s="14" t="inlineStr">
        <is>
          <t>P UPSTR IPT BLADING</t>
        </is>
      </c>
      <c r="E84" s="37" t="n"/>
      <c r="F84" s="103" t="n">
        <v>-137.89</v>
      </c>
      <c r="G84" s="103" t="n">
        <v>137.89</v>
      </c>
      <c r="H84" s="103" t="n">
        <v>-1</v>
      </c>
      <c r="I84" s="103" t="n">
        <v>40</v>
      </c>
      <c r="J84" s="4" t="inlineStr">
        <is>
          <t>Bar</t>
        </is>
      </c>
      <c r="K84" s="19" t="inlineStr">
        <is>
          <t>ROSEMOUNT</t>
        </is>
      </c>
      <c r="L84" s="19" t="inlineStr">
        <is>
          <t>3051 PT</t>
        </is>
      </c>
      <c r="M84" s="20" t="n">
        <v>9834863</v>
      </c>
      <c r="N84" s="2">
        <f>IF(E84="","Waiting","Calibrated")</f>
        <v/>
      </c>
      <c r="O84" s="2" t="n"/>
      <c r="P84" s="2" t="inlineStr">
        <is>
          <t>ZM06</t>
        </is>
      </c>
      <c r="Q84" s="2" t="n"/>
      <c r="R84" s="28" t="n"/>
      <c r="S84" s="28" t="n"/>
      <c r="T84" s="32" t="n"/>
    </row>
    <row r="85" ht="30" customFormat="1" customHeight="1" s="5">
      <c r="A85" s="17" t="n">
        <v>83</v>
      </c>
      <c r="B85" s="17" t="inlineStr">
        <is>
          <t>KIPP10</t>
        </is>
      </c>
      <c r="C85" s="2" t="inlineStr">
        <is>
          <t>10MAC01CP021</t>
        </is>
      </c>
      <c r="D85" s="14" t="inlineStr">
        <is>
          <t>LP TUR.UPER STR.CROSS PIPE PRESSURE</t>
        </is>
      </c>
      <c r="E85" s="37" t="n"/>
      <c r="F85" s="103" t="n">
        <v>-20.684</v>
      </c>
      <c r="G85" s="103" t="n">
        <v>20.684</v>
      </c>
      <c r="H85" s="103" t="n">
        <v>-1</v>
      </c>
      <c r="I85" s="103" t="n">
        <v>8</v>
      </c>
      <c r="J85" s="4" t="inlineStr">
        <is>
          <t>Bar</t>
        </is>
      </c>
      <c r="K85" s="19" t="inlineStr">
        <is>
          <t>ROSEMOUNT</t>
        </is>
      </c>
      <c r="L85" s="19" t="inlineStr">
        <is>
          <t>3051 PT</t>
        </is>
      </c>
      <c r="M85" s="20" t="n">
        <v>9834860</v>
      </c>
      <c r="N85" s="2">
        <f>IF(E85="","Waiting","Calibrated")</f>
        <v/>
      </c>
      <c r="O85" s="2" t="n"/>
      <c r="P85" s="2" t="inlineStr">
        <is>
          <t>ZM06</t>
        </is>
      </c>
      <c r="Q85" s="2" t="n"/>
      <c r="R85" s="28" t="n"/>
      <c r="S85" s="28" t="n"/>
      <c r="T85" s="32" t="n"/>
    </row>
    <row r="86" ht="30" customFormat="1" customHeight="1" s="5">
      <c r="A86" s="17" t="n">
        <v>84</v>
      </c>
      <c r="B86" s="17" t="inlineStr">
        <is>
          <t>KIPP10</t>
        </is>
      </c>
      <c r="C86" s="2" t="inlineStr">
        <is>
          <t>10MAC01CP022</t>
        </is>
      </c>
      <c r="D86" s="14" t="inlineStr">
        <is>
          <t>LP TUR.UPER STR.CROSS PIPE PRESSURE</t>
        </is>
      </c>
      <c r="E86" s="37" t="n"/>
      <c r="F86" s="103" t="n">
        <v>-20.684</v>
      </c>
      <c r="G86" s="103" t="n">
        <v>20.684</v>
      </c>
      <c r="H86" s="103" t="n">
        <v>-1</v>
      </c>
      <c r="I86" s="103" t="n">
        <v>8</v>
      </c>
      <c r="J86" s="4" t="inlineStr">
        <is>
          <t>Bar</t>
        </is>
      </c>
      <c r="K86" s="19" t="inlineStr">
        <is>
          <t>ROSEMOUNT</t>
        </is>
      </c>
      <c r="L86" s="19" t="inlineStr">
        <is>
          <t>3051 PT</t>
        </is>
      </c>
      <c r="M86" s="20" t="n">
        <v>9834861</v>
      </c>
      <c r="N86" s="2">
        <f>IF(E86="","Waiting","Calibrated")</f>
        <v/>
      </c>
      <c r="O86" s="2" t="n"/>
      <c r="P86" s="2" t="inlineStr">
        <is>
          <t>ZM06</t>
        </is>
      </c>
      <c r="Q86" s="2" t="n"/>
      <c r="R86" s="28" t="n"/>
      <c r="S86" s="28" t="n"/>
      <c r="T86" s="32" t="n"/>
    </row>
    <row r="87" ht="30" customFormat="1" customHeight="1" s="5">
      <c r="A87" s="17" t="n">
        <v>85</v>
      </c>
      <c r="B87" s="17" t="inlineStr">
        <is>
          <t>KIPP10</t>
        </is>
      </c>
      <c r="C87" s="2" t="inlineStr">
        <is>
          <t>10MAC10CP031</t>
        </is>
      </c>
      <c r="D87" s="14" t="inlineStr">
        <is>
          <t>LP TURBINE EXHAUST PRESSURE</t>
        </is>
      </c>
      <c r="E87" s="37" t="n"/>
      <c r="F87" s="103" t="n">
        <v>0</v>
      </c>
      <c r="G87" s="103" t="n">
        <v>2068.4</v>
      </c>
      <c r="H87" s="103" t="n">
        <v>0</v>
      </c>
      <c r="I87" s="103" t="n">
        <v>1200</v>
      </c>
      <c r="J87" s="4" t="inlineStr">
        <is>
          <t>mBar</t>
        </is>
      </c>
      <c r="K87" s="19" t="inlineStr">
        <is>
          <t>ROSEMOUNT</t>
        </is>
      </c>
      <c r="L87" s="19" t="inlineStr">
        <is>
          <t>3051 PT</t>
        </is>
      </c>
      <c r="M87" s="20" t="n">
        <v>9861934</v>
      </c>
      <c r="N87" s="2">
        <f>IF(E87="","Waiting","Calibrated")</f>
        <v/>
      </c>
      <c r="O87" s="2" t="n"/>
      <c r="P87" s="2" t="inlineStr">
        <is>
          <t>ZM06</t>
        </is>
      </c>
      <c r="Q87" s="2" t="n"/>
      <c r="R87" s="28" t="n"/>
      <c r="S87" s="28" t="n"/>
      <c r="T87" s="32" t="n"/>
    </row>
    <row r="88" ht="30" customFormat="1" customHeight="1" s="5">
      <c r="A88" s="17" t="n">
        <v>86</v>
      </c>
      <c r="B88" s="17" t="inlineStr">
        <is>
          <t>KIPP10</t>
        </is>
      </c>
      <c r="C88" s="2" t="inlineStr">
        <is>
          <t>10MAC10CP032</t>
        </is>
      </c>
      <c r="D88" s="14" t="inlineStr">
        <is>
          <t>LP TURBINE EXHAUST PRESSURE</t>
        </is>
      </c>
      <c r="E88" s="37" t="n"/>
      <c r="F88" s="103" t="n">
        <v>0</v>
      </c>
      <c r="G88" s="103" t="n">
        <v>2068.4</v>
      </c>
      <c r="H88" s="103" t="n">
        <v>0</v>
      </c>
      <c r="I88" s="103" t="n">
        <v>1200</v>
      </c>
      <c r="J88" s="4" t="inlineStr">
        <is>
          <t>mBar</t>
        </is>
      </c>
      <c r="K88" s="19" t="inlineStr">
        <is>
          <t>ROSEMOUNT</t>
        </is>
      </c>
      <c r="L88" s="19" t="inlineStr">
        <is>
          <t>3051 PT</t>
        </is>
      </c>
      <c r="M88" s="20" t="n">
        <v>9861935</v>
      </c>
      <c r="N88" s="2">
        <f>IF(E88="","Waiting","Calibrated")</f>
        <v/>
      </c>
      <c r="O88" s="2" t="n"/>
      <c r="P88" s="2" t="inlineStr">
        <is>
          <t>ZM06</t>
        </is>
      </c>
      <c r="Q88" s="2" t="n"/>
      <c r="R88" s="28" t="n"/>
      <c r="S88" s="28" t="n"/>
      <c r="T88" s="32" t="n"/>
    </row>
    <row r="89" ht="30" customFormat="1" customHeight="1" s="5">
      <c r="A89" s="17" t="n">
        <v>87</v>
      </c>
      <c r="B89" s="17" t="inlineStr">
        <is>
          <t>KIPP10</t>
        </is>
      </c>
      <c r="C89" s="2" t="inlineStr">
        <is>
          <t>10MAC10CP033</t>
        </is>
      </c>
      <c r="D89" s="14" t="inlineStr">
        <is>
          <t>LP TURBINE EXHAUST PRESSURE</t>
        </is>
      </c>
      <c r="E89" s="37" t="n"/>
      <c r="F89" s="103" t="n">
        <v>0</v>
      </c>
      <c r="G89" s="103" t="n">
        <v>2068.4</v>
      </c>
      <c r="H89" s="103" t="n">
        <v>0</v>
      </c>
      <c r="I89" s="103" t="n">
        <v>1200</v>
      </c>
      <c r="J89" s="4" t="inlineStr">
        <is>
          <t>mBar</t>
        </is>
      </c>
      <c r="K89" s="19" t="inlineStr">
        <is>
          <t>ROSEMOUNT</t>
        </is>
      </c>
      <c r="L89" s="19" t="inlineStr">
        <is>
          <t>3051 PT</t>
        </is>
      </c>
      <c r="M89" s="20" t="n">
        <v>9861936</v>
      </c>
      <c r="N89" s="2">
        <f>IF(E89="","Waiting","Calibrated")</f>
        <v/>
      </c>
      <c r="O89" s="2" t="n"/>
      <c r="P89" s="2" t="inlineStr">
        <is>
          <t>ZM06</t>
        </is>
      </c>
      <c r="Q89" s="2" t="n"/>
      <c r="R89" s="28" t="n"/>
      <c r="S89" s="28" t="n"/>
      <c r="T89" s="32" t="n"/>
    </row>
    <row r="90" ht="30" customFormat="1" customHeight="1" s="5">
      <c r="A90" s="17" t="n">
        <v>88</v>
      </c>
      <c r="B90" s="17" t="inlineStr">
        <is>
          <t>KIPP10</t>
        </is>
      </c>
      <c r="C90" s="2" t="inlineStr">
        <is>
          <t>10MAV40CP003</t>
        </is>
      </c>
      <c r="D90" s="14" t="inlineStr">
        <is>
          <t>P LOIL HEADER</t>
        </is>
      </c>
      <c r="E90" s="37" t="n"/>
      <c r="F90" s="103" t="n">
        <v>-1.0132</v>
      </c>
      <c r="G90" s="103" t="n">
        <v>10.3421</v>
      </c>
      <c r="H90" s="103" t="n">
        <v>0</v>
      </c>
      <c r="I90" s="103" t="n">
        <v>6</v>
      </c>
      <c r="J90" s="4" t="inlineStr">
        <is>
          <t>Bar</t>
        </is>
      </c>
      <c r="K90" s="19" t="inlineStr">
        <is>
          <t>ROSEMOUNT</t>
        </is>
      </c>
      <c r="L90" s="19" t="inlineStr">
        <is>
          <t>3051 PT</t>
        </is>
      </c>
      <c r="M90" s="20" t="n">
        <v>9843509</v>
      </c>
      <c r="N90" s="2">
        <f>IF(E90="","Waiting","Calibrated")</f>
        <v/>
      </c>
      <c r="O90" s="2" t="n"/>
      <c r="P90" s="2" t="inlineStr">
        <is>
          <t>ZM06</t>
        </is>
      </c>
      <c r="Q90" s="2" t="n"/>
      <c r="R90" s="28" t="n"/>
      <c r="S90" s="28" t="n"/>
      <c r="T90" s="32" t="n"/>
    </row>
    <row r="91" ht="30" customFormat="1" customHeight="1" s="5">
      <c r="A91" s="17" t="n">
        <v>89</v>
      </c>
      <c r="B91" s="17" t="inlineStr">
        <is>
          <t>KIPP10</t>
        </is>
      </c>
      <c r="C91" s="2" t="inlineStr">
        <is>
          <t>10MAV40CP004</t>
        </is>
      </c>
      <c r="D91" s="14" t="inlineStr">
        <is>
          <t>P LOIL HEADER</t>
        </is>
      </c>
      <c r="E91" s="37" t="n"/>
      <c r="F91" s="103" t="n">
        <v>-1.0132</v>
      </c>
      <c r="G91" s="103" t="n">
        <v>10.3421</v>
      </c>
      <c r="H91" s="103" t="n">
        <v>0</v>
      </c>
      <c r="I91" s="103" t="n">
        <v>6</v>
      </c>
      <c r="J91" s="4" t="inlineStr">
        <is>
          <t>Bar</t>
        </is>
      </c>
      <c r="K91" s="19" t="inlineStr">
        <is>
          <t>ROSEMOUNT</t>
        </is>
      </c>
      <c r="L91" s="19" t="inlineStr">
        <is>
          <t>3051 PT</t>
        </is>
      </c>
      <c r="M91" s="20" t="n">
        <v>9843508</v>
      </c>
      <c r="N91" s="2">
        <f>IF(E91="","Waiting","Calibrated")</f>
        <v/>
      </c>
      <c r="O91" s="2" t="n"/>
      <c r="P91" s="2" t="inlineStr">
        <is>
          <t>ZM06</t>
        </is>
      </c>
      <c r="Q91" s="2" t="n"/>
      <c r="R91" s="28" t="n"/>
      <c r="S91" s="28" t="n"/>
      <c r="T91" s="32" t="n"/>
    </row>
    <row r="92" ht="30" customFormat="1" customHeight="1" s="5">
      <c r="A92" s="17" t="n">
        <v>90</v>
      </c>
      <c r="B92" s="17" t="inlineStr">
        <is>
          <t>KIPP10</t>
        </is>
      </c>
      <c r="C92" s="2" t="inlineStr">
        <is>
          <t>10MAV40CP005</t>
        </is>
      </c>
      <c r="D92" s="14" t="inlineStr">
        <is>
          <t>P LOIL HEADER</t>
        </is>
      </c>
      <c r="E92" s="37" t="n"/>
      <c r="F92" s="103" t="n">
        <v>-1.0132</v>
      </c>
      <c r="G92" s="103" t="n">
        <v>10.3421</v>
      </c>
      <c r="H92" s="103" t="n">
        <v>0</v>
      </c>
      <c r="I92" s="103" t="n">
        <v>6</v>
      </c>
      <c r="J92" s="4" t="inlineStr">
        <is>
          <t>Bar</t>
        </is>
      </c>
      <c r="K92" s="19" t="inlineStr">
        <is>
          <t>ROSEMOUNT</t>
        </is>
      </c>
      <c r="L92" s="19" t="inlineStr">
        <is>
          <t>3051 PT</t>
        </is>
      </c>
      <c r="M92" s="20" t="n">
        <v>9843510</v>
      </c>
      <c r="N92" s="2">
        <f>IF(E92="","Waiting","Calibrated")</f>
        <v/>
      </c>
      <c r="O92" s="2" t="n"/>
      <c r="P92" s="2" t="inlineStr">
        <is>
          <t>ZM06</t>
        </is>
      </c>
      <c r="Q92" s="2" t="n"/>
      <c r="R92" s="28" t="n"/>
      <c r="S92" s="28" t="n"/>
      <c r="T92" s="32" t="n"/>
    </row>
    <row r="93" ht="30" customFormat="1" customHeight="1" s="5">
      <c r="A93" s="17" t="n">
        <v>91</v>
      </c>
      <c r="B93" s="17" t="inlineStr">
        <is>
          <t>KIPP10</t>
        </is>
      </c>
      <c r="C93" s="2" t="inlineStr">
        <is>
          <t>10MAW02CP001</t>
        </is>
      </c>
      <c r="D93" s="14" t="inlineStr">
        <is>
          <t>GLAND STEAM LINE PT</t>
        </is>
      </c>
      <c r="E93" s="37" t="n"/>
      <c r="F93" s="103" t="n">
        <v>-1</v>
      </c>
      <c r="G93" s="103" t="n">
        <v>100</v>
      </c>
      <c r="H93" s="103" t="n">
        <v>-1</v>
      </c>
      <c r="I93" s="103" t="n">
        <v>50</v>
      </c>
      <c r="J93" s="4" t="inlineStr">
        <is>
          <t>Bar</t>
        </is>
      </c>
      <c r="K93" s="19" t="inlineStr">
        <is>
          <t>YOKOGAWA</t>
        </is>
      </c>
      <c r="L93" s="19" t="inlineStr">
        <is>
          <t>EJA530E</t>
        </is>
      </c>
      <c r="M93" s="19" t="inlineStr">
        <is>
          <t>91S313309</t>
        </is>
      </c>
      <c r="N93" s="2">
        <f>IF(E93="","Waiting","Calibrated")</f>
        <v/>
      </c>
      <c r="O93" s="2" t="n"/>
      <c r="P93" s="2" t="inlineStr">
        <is>
          <t>ZM06</t>
        </is>
      </c>
      <c r="Q93" s="2" t="n"/>
      <c r="R93" s="28" t="n"/>
      <c r="S93" s="28" t="n"/>
      <c r="T93" s="32" t="n"/>
    </row>
    <row r="94" ht="30" customFormat="1" customHeight="1" s="5">
      <c r="A94" s="17" t="n">
        <v>92</v>
      </c>
      <c r="B94" s="17" t="inlineStr">
        <is>
          <t>KIPP10</t>
        </is>
      </c>
      <c r="C94" s="2" t="inlineStr">
        <is>
          <t>10MAW15CP001</t>
        </is>
      </c>
      <c r="D94" s="14" t="inlineStr">
        <is>
          <t>GLAND STEAM SEALING SYSTEM PRESSURE</t>
        </is>
      </c>
      <c r="E94" s="37" t="n"/>
      <c r="F94" s="103" t="n">
        <v>-2486.4</v>
      </c>
      <c r="G94" s="103" t="n">
        <v>2486.4</v>
      </c>
      <c r="H94" s="103" t="n">
        <v>-150</v>
      </c>
      <c r="I94" s="103" t="n">
        <v>350</v>
      </c>
      <c r="J94" s="4" t="inlineStr">
        <is>
          <t>mBar</t>
        </is>
      </c>
      <c r="K94" s="19" t="inlineStr">
        <is>
          <t>ROSEMOUNT</t>
        </is>
      </c>
      <c r="L94" s="19" t="inlineStr">
        <is>
          <t>3051 PT</t>
        </is>
      </c>
      <c r="M94" s="20" t="n">
        <v>9834859</v>
      </c>
      <c r="N94" s="2">
        <f>IF(E94="","Waiting","Calibrated")</f>
        <v/>
      </c>
      <c r="O94" s="2" t="n"/>
      <c r="P94" s="2" t="inlineStr">
        <is>
          <t>ZM06</t>
        </is>
      </c>
      <c r="Q94" s="2" t="n"/>
      <c r="R94" s="28" t="n"/>
      <c r="S94" s="28" t="n"/>
      <c r="T94" s="32" t="n"/>
    </row>
    <row r="95" ht="30" customFormat="1" customHeight="1" s="5">
      <c r="A95" s="17" t="n">
        <v>93</v>
      </c>
      <c r="B95" s="17" t="inlineStr">
        <is>
          <t>KIPP10</t>
        </is>
      </c>
      <c r="C95" s="2" t="inlineStr">
        <is>
          <t>10MAX11CP031</t>
        </is>
      </c>
      <c r="D95" s="14" t="inlineStr">
        <is>
          <t>P HYDR HEADER</t>
        </is>
      </c>
      <c r="E95" s="37" t="n"/>
      <c r="F95" s="103" t="n">
        <v>-1.013</v>
      </c>
      <c r="G95" s="103" t="n">
        <v>275.789</v>
      </c>
      <c r="H95" s="103" t="n">
        <v>0</v>
      </c>
      <c r="I95" s="103" t="n">
        <v>52</v>
      </c>
      <c r="J95" s="4" t="inlineStr">
        <is>
          <t>Bar</t>
        </is>
      </c>
      <c r="K95" s="19" t="inlineStr">
        <is>
          <t>ROSEMOUNT</t>
        </is>
      </c>
      <c r="L95" s="19" t="inlineStr">
        <is>
          <t>3051 PT</t>
        </is>
      </c>
      <c r="M95" s="20" t="n">
        <v>9843512</v>
      </c>
      <c r="N95" s="2">
        <f>IF(E95="","Waiting","Calibrated")</f>
        <v/>
      </c>
      <c r="O95" s="2" t="n"/>
      <c r="P95" s="2" t="inlineStr">
        <is>
          <t>ZM06</t>
        </is>
      </c>
      <c r="Q95" s="2" t="n"/>
      <c r="R95" s="28" t="n"/>
      <c r="S95" s="28" t="n"/>
      <c r="T95" s="32" t="n"/>
    </row>
    <row r="96" ht="30" customFormat="1" customHeight="1" s="5">
      <c r="A96" s="17" t="n">
        <v>94</v>
      </c>
      <c r="B96" s="17" t="inlineStr">
        <is>
          <t>KIPP10</t>
        </is>
      </c>
      <c r="C96" s="2" t="inlineStr">
        <is>
          <t>10MAX44CP001</t>
        </is>
      </c>
      <c r="D96" s="14" t="inlineStr">
        <is>
          <t>P SAFETY SYSTEM</t>
        </is>
      </c>
      <c r="E96" s="37" t="n"/>
      <c r="F96" s="103" t="n">
        <v>-1.013</v>
      </c>
      <c r="G96" s="103" t="n">
        <v>275.789</v>
      </c>
      <c r="H96" s="103" t="n">
        <v>0</v>
      </c>
      <c r="I96" s="103" t="n">
        <v>52</v>
      </c>
      <c r="J96" s="4" t="inlineStr">
        <is>
          <t>Bar</t>
        </is>
      </c>
      <c r="K96" s="19" t="inlineStr">
        <is>
          <t>ROSEMOUNT</t>
        </is>
      </c>
      <c r="L96" s="19" t="inlineStr">
        <is>
          <t>3051 PT</t>
        </is>
      </c>
      <c r="M96" s="20" t="n">
        <v>9843513</v>
      </c>
      <c r="N96" s="2">
        <f>IF(E96="","Waiting","Calibrated")</f>
        <v/>
      </c>
      <c r="O96" s="2" t="n"/>
      <c r="P96" s="2" t="inlineStr">
        <is>
          <t>ZM06</t>
        </is>
      </c>
      <c r="Q96" s="2" t="n"/>
      <c r="R96" s="28" t="n"/>
      <c r="S96" s="28" t="n"/>
      <c r="T96" s="32" t="n"/>
    </row>
    <row r="97" ht="30" customFormat="1" customHeight="1" s="5">
      <c r="A97" s="17" t="n">
        <v>95</v>
      </c>
      <c r="B97" s="17" t="inlineStr">
        <is>
          <t>KIPP10</t>
        </is>
      </c>
      <c r="C97" s="2" t="inlineStr">
        <is>
          <t>10MAX44CP002</t>
        </is>
      </c>
      <c r="D97" s="14" t="inlineStr">
        <is>
          <t>P SAFETY SYSTEM</t>
        </is>
      </c>
      <c r="E97" s="37" t="n"/>
      <c r="F97" s="103" t="n">
        <v>-1.013</v>
      </c>
      <c r="G97" s="103" t="n">
        <v>275.789</v>
      </c>
      <c r="H97" s="103" t="n">
        <v>0</v>
      </c>
      <c r="I97" s="103" t="n">
        <v>52</v>
      </c>
      <c r="J97" s="4" t="inlineStr">
        <is>
          <t>Bar</t>
        </is>
      </c>
      <c r="K97" s="19" t="inlineStr">
        <is>
          <t>ROSEMOUNT</t>
        </is>
      </c>
      <c r="L97" s="19" t="inlineStr">
        <is>
          <t>3051 PT</t>
        </is>
      </c>
      <c r="M97" s="20" t="n">
        <v>9843511</v>
      </c>
      <c r="N97" s="2">
        <f>IF(E97="","Waiting","Calibrated")</f>
        <v/>
      </c>
      <c r="O97" s="2" t="n"/>
      <c r="P97" s="2" t="inlineStr">
        <is>
          <t>ZM06</t>
        </is>
      </c>
      <c r="Q97" s="2" t="n"/>
      <c r="R97" s="28" t="n"/>
      <c r="S97" s="28" t="n"/>
      <c r="T97" s="32" t="n"/>
    </row>
    <row r="98" ht="30" customFormat="1" customHeight="1" s="5">
      <c r="A98" s="17" t="n">
        <v>96</v>
      </c>
      <c r="B98" s="17" t="inlineStr">
        <is>
          <t>KIPP10</t>
        </is>
      </c>
      <c r="C98" s="2" t="inlineStr">
        <is>
          <t>10MAX44CP003</t>
        </is>
      </c>
      <c r="D98" s="14" t="inlineStr">
        <is>
          <t>P SAFETY SYSTEM</t>
        </is>
      </c>
      <c r="E98" s="37" t="n"/>
      <c r="F98" s="103" t="n">
        <v>-1.013</v>
      </c>
      <c r="G98" s="103" t="n">
        <v>275.789</v>
      </c>
      <c r="H98" s="103" t="n">
        <v>0</v>
      </c>
      <c r="I98" s="103" t="n">
        <v>52</v>
      </c>
      <c r="J98" s="4" t="inlineStr">
        <is>
          <t>Bar</t>
        </is>
      </c>
      <c r="K98" s="19" t="inlineStr">
        <is>
          <t>ROSEMOUNT</t>
        </is>
      </c>
      <c r="L98" s="19" t="inlineStr">
        <is>
          <t>3051 PT</t>
        </is>
      </c>
      <c r="M98" s="20" t="n">
        <v>9843514</v>
      </c>
      <c r="N98" s="2">
        <f>IF(E98="","Waiting","Calibrated")</f>
        <v/>
      </c>
      <c r="O98" s="2" t="n"/>
      <c r="P98" s="2" t="inlineStr">
        <is>
          <t>ZM06</t>
        </is>
      </c>
      <c r="Q98" s="2" t="n"/>
      <c r="R98" s="28" t="n"/>
      <c r="S98" s="28" t="n"/>
      <c r="T98" s="32" t="n"/>
    </row>
    <row r="99" ht="30" customFormat="1" customHeight="1" s="5">
      <c r="A99" s="17" t="n">
        <v>97</v>
      </c>
      <c r="B99" s="17" t="inlineStr">
        <is>
          <t>KIPP10</t>
        </is>
      </c>
      <c r="C99" s="2" t="inlineStr">
        <is>
          <t>10MKA13CP111</t>
        </is>
      </c>
      <c r="D99" s="14" t="inlineStr">
        <is>
          <t>GEN.AIR BLOWER FILTER PRESSURE</t>
        </is>
      </c>
      <c r="E99" s="37" t="n"/>
      <c r="F99" s="103" t="n">
        <v>-1013.2</v>
      </c>
      <c r="G99" s="103" t="n">
        <v>2068.4</v>
      </c>
      <c r="H99" s="103" t="n">
        <v>-50</v>
      </c>
      <c r="I99" s="103" t="n">
        <v>0</v>
      </c>
      <c r="J99" s="4" t="inlineStr">
        <is>
          <t>mBar</t>
        </is>
      </c>
      <c r="K99" s="19" t="inlineStr">
        <is>
          <t>ROSEMOUNT</t>
        </is>
      </c>
      <c r="L99" s="19" t="inlineStr">
        <is>
          <t>2088 PT</t>
        </is>
      </c>
      <c r="M99" s="20" t="n">
        <v>9917083</v>
      </c>
      <c r="N99" s="2">
        <f>IF(E99="","Waiting","Calibrated")</f>
        <v/>
      </c>
      <c r="O99" s="2" t="n"/>
      <c r="P99" s="2" t="inlineStr">
        <is>
          <t>ZM06</t>
        </is>
      </c>
      <c r="Q99" s="2" t="n"/>
      <c r="R99" s="28" t="n"/>
      <c r="S99" s="28" t="n"/>
      <c r="T99" s="32" t="n"/>
    </row>
    <row r="100" ht="30" customFormat="1" customHeight="1" s="5">
      <c r="A100" s="17" t="n">
        <v>98</v>
      </c>
      <c r="B100" s="17" t="inlineStr">
        <is>
          <t>KIPP10</t>
        </is>
      </c>
      <c r="C100" s="2" t="inlineStr">
        <is>
          <t>10MKA13CP112</t>
        </is>
      </c>
      <c r="D100" s="14" t="inlineStr">
        <is>
          <t>GEN.AIR BLOWER AFTER FAN PRESSURE</t>
        </is>
      </c>
      <c r="E100" s="37" t="n"/>
      <c r="F100" s="103" t="n">
        <v>-1013.2</v>
      </c>
      <c r="G100" s="103" t="n">
        <v>2068.4</v>
      </c>
      <c r="H100" s="103" t="n">
        <v>0</v>
      </c>
      <c r="I100" s="103" t="n">
        <v>400</v>
      </c>
      <c r="J100" s="4" t="inlineStr">
        <is>
          <t>mBar</t>
        </is>
      </c>
      <c r="K100" s="19" t="inlineStr">
        <is>
          <t>ROSEMOUNT</t>
        </is>
      </c>
      <c r="L100" s="19" t="inlineStr">
        <is>
          <t>2088 PT</t>
        </is>
      </c>
      <c r="M100" s="20" t="n">
        <v>9917081</v>
      </c>
      <c r="N100" s="2">
        <f>IF(E100="","Waiting","Calibrated")</f>
        <v/>
      </c>
      <c r="O100" s="2" t="n"/>
      <c r="P100" s="2" t="inlineStr">
        <is>
          <t>ZM06</t>
        </is>
      </c>
      <c r="Q100" s="2" t="n"/>
      <c r="R100" s="28" t="n"/>
      <c r="S100" s="28" t="n"/>
      <c r="T100" s="32" t="n"/>
    </row>
    <row r="101" ht="30" customFormat="1" customHeight="1" s="5">
      <c r="A101" s="17" t="n">
        <v>99</v>
      </c>
      <c r="B101" s="17" t="inlineStr">
        <is>
          <t>KIPP10</t>
        </is>
      </c>
      <c r="C101" s="2" t="inlineStr">
        <is>
          <t>10MKA13CP113</t>
        </is>
      </c>
      <c r="D101" s="14" t="inlineStr">
        <is>
          <t>GEN.AIR BLOWER AFTER FAN PRESSURE</t>
        </is>
      </c>
      <c r="E101" s="37" t="n"/>
      <c r="F101" s="103" t="n">
        <v>-1013.2</v>
      </c>
      <c r="G101" s="103" t="n">
        <v>2068.4</v>
      </c>
      <c r="H101" s="103" t="n">
        <v>0</v>
      </c>
      <c r="I101" s="103" t="n">
        <v>400</v>
      </c>
      <c r="J101" s="4" t="inlineStr">
        <is>
          <t>mBar</t>
        </is>
      </c>
      <c r="K101" s="19" t="inlineStr">
        <is>
          <t>ROSEMOUNT</t>
        </is>
      </c>
      <c r="L101" s="19" t="inlineStr">
        <is>
          <t>2088 PT</t>
        </is>
      </c>
      <c r="M101" s="20" t="n">
        <v>9917082</v>
      </c>
      <c r="N101" s="2">
        <f>IF(E101="","Waiting","Calibrated")</f>
        <v/>
      </c>
      <c r="O101" s="2" t="n"/>
      <c r="P101" s="2" t="inlineStr">
        <is>
          <t>ZM06</t>
        </is>
      </c>
      <c r="Q101" s="2" t="n"/>
      <c r="R101" s="28" t="n"/>
      <c r="S101" s="28" t="n"/>
      <c r="T101" s="32" t="n"/>
    </row>
    <row r="102" ht="30" customFormat="1" customHeight="1" s="5">
      <c r="A102" s="17" t="n">
        <v>100</v>
      </c>
      <c r="B102" s="17" t="inlineStr">
        <is>
          <t>KIPP11</t>
        </is>
      </c>
      <c r="C102" s="2" t="inlineStr">
        <is>
          <t>11EKG40CP101</t>
        </is>
      </c>
      <c r="D102" s="14" t="inlineStr">
        <is>
          <t>FG PERFORMANCE HEATER SKID OUTLET PRESS</t>
        </is>
      </c>
      <c r="E102" s="37" t="n"/>
      <c r="F102" s="103" t="n">
        <v>-1</v>
      </c>
      <c r="G102" s="103" t="n">
        <v>100</v>
      </c>
      <c r="H102" s="103" t="n">
        <v>0</v>
      </c>
      <c r="I102" s="103" t="n">
        <v>61</v>
      </c>
      <c r="J102" s="4" t="inlineStr">
        <is>
          <t>Bar</t>
        </is>
      </c>
      <c r="K102" s="33" t="inlineStr">
        <is>
          <t>YOKOGAWA</t>
        </is>
      </c>
      <c r="L102" s="33" t="inlineStr">
        <is>
          <t>EJA530E</t>
        </is>
      </c>
      <c r="M102" s="19" t="inlineStr">
        <is>
          <t>91S313313</t>
        </is>
      </c>
      <c r="N102" s="2">
        <f>IF(E102="","Waiting","Calibrated")</f>
        <v/>
      </c>
      <c r="O102" s="2" t="n"/>
      <c r="P102" s="2" t="inlineStr">
        <is>
          <t>ZM06</t>
        </is>
      </c>
      <c r="Q102" s="2" t="n"/>
      <c r="R102" s="28" t="n"/>
      <c r="S102" s="28" t="n"/>
      <c r="T102" s="32" t="n"/>
    </row>
    <row r="103" ht="30" customFormat="1" customHeight="1" s="5">
      <c r="A103" s="17" t="n">
        <v>101</v>
      </c>
      <c r="B103" s="17" t="inlineStr">
        <is>
          <t>KIPP11</t>
        </is>
      </c>
      <c r="C103" s="2" t="inlineStr">
        <is>
          <t>11HAC22CF002</t>
        </is>
      </c>
      <c r="D103" s="14" t="inlineStr">
        <is>
          <t>LP FW FT 1</t>
        </is>
      </c>
      <c r="E103" s="37" t="n">
        <v>46113</v>
      </c>
      <c r="F103" s="103" t="n">
        <v>-621.6</v>
      </c>
      <c r="G103" s="103" t="n">
        <v>621.6</v>
      </c>
      <c r="H103" s="103" t="n">
        <v>0</v>
      </c>
      <c r="I103" s="103" t="n">
        <v>316</v>
      </c>
      <c r="J103" s="4" t="inlineStr">
        <is>
          <t>mBar</t>
        </is>
      </c>
      <c r="K103" s="19" t="inlineStr">
        <is>
          <t>ROSEMOUNT</t>
        </is>
      </c>
      <c r="L103" s="19" t="inlineStr">
        <is>
          <t>2051 PT</t>
        </is>
      </c>
      <c r="M103" s="20" t="n">
        <v>214472</v>
      </c>
      <c r="N103" s="2">
        <f>IF(E103="","Waiting","Calibrated")</f>
        <v/>
      </c>
      <c r="O103" s="2" t="n"/>
      <c r="P103" s="2" t="inlineStr">
        <is>
          <t>ZM06</t>
        </is>
      </c>
      <c r="Q103" s="2" t="n"/>
      <c r="R103" s="28" t="n"/>
      <c r="S103" s="28" t="inlineStr">
        <is>
          <t>11LAB46GH101</t>
        </is>
      </c>
      <c r="T103" s="32" t="n"/>
    </row>
    <row r="104" ht="30" customFormat="1" customHeight="1" s="5">
      <c r="A104" s="17" t="n">
        <v>102</v>
      </c>
      <c r="B104" s="17" t="inlineStr">
        <is>
          <t>KIPP11</t>
        </is>
      </c>
      <c r="C104" s="2" t="inlineStr">
        <is>
          <t>11HAC22CF003</t>
        </is>
      </c>
      <c r="D104" s="14" t="inlineStr">
        <is>
          <t>LP FW FT 2</t>
        </is>
      </c>
      <c r="E104" s="37" t="n">
        <v>46113</v>
      </c>
      <c r="F104" s="103" t="n">
        <v>-621.6</v>
      </c>
      <c r="G104" s="103" t="n">
        <v>621.6</v>
      </c>
      <c r="H104" s="103" t="n">
        <v>0</v>
      </c>
      <c r="I104" s="103" t="n">
        <v>316</v>
      </c>
      <c r="J104" s="4" t="inlineStr">
        <is>
          <t>mBar</t>
        </is>
      </c>
      <c r="K104" s="19" t="inlineStr">
        <is>
          <t>ROSEMOUNT</t>
        </is>
      </c>
      <c r="L104" s="19" t="inlineStr">
        <is>
          <t>2051 PT</t>
        </is>
      </c>
      <c r="M104" s="20" t="n">
        <v>214473</v>
      </c>
      <c r="N104" s="2">
        <f>IF(E104="","Waiting","Calibrated")</f>
        <v/>
      </c>
      <c r="O104" s="2" t="n"/>
      <c r="P104" s="2" t="inlineStr">
        <is>
          <t>ZM06</t>
        </is>
      </c>
      <c r="Q104" s="2" t="n"/>
      <c r="R104" s="28" t="n"/>
      <c r="S104" s="28" t="inlineStr">
        <is>
          <t>11LAB46GH101</t>
        </is>
      </c>
      <c r="T104" s="32" t="n"/>
    </row>
    <row r="105" ht="30" customFormat="1" customHeight="1" s="5">
      <c r="A105" s="17" t="n">
        <v>103</v>
      </c>
      <c r="B105" s="17" t="inlineStr">
        <is>
          <t>KIPP11</t>
        </is>
      </c>
      <c r="C105" s="2" t="inlineStr">
        <is>
          <t>11HAC25CF002</t>
        </is>
      </c>
      <c r="D105" s="14" t="inlineStr">
        <is>
          <t>IP DRUM FW FLOW A</t>
        </is>
      </c>
      <c r="E105" s="37" t="n">
        <v>46113</v>
      </c>
      <c r="F105" s="103" t="n">
        <v>-621.6</v>
      </c>
      <c r="G105" s="103" t="n">
        <v>621.6</v>
      </c>
      <c r="H105" s="103" t="n">
        <v>0</v>
      </c>
      <c r="I105" s="103" t="n">
        <v>460</v>
      </c>
      <c r="J105" s="4" t="inlineStr">
        <is>
          <t>mBar</t>
        </is>
      </c>
      <c r="K105" s="33" t="inlineStr">
        <is>
          <t>ROSEMOUNT</t>
        </is>
      </c>
      <c r="L105" s="33" t="inlineStr">
        <is>
          <t>2051 PT</t>
        </is>
      </c>
      <c r="M105" s="20" t="n">
        <v>214462</v>
      </c>
      <c r="N105" s="2">
        <f>IF(E105="","Waiting","Calibrated")</f>
        <v/>
      </c>
      <c r="O105" s="2" t="n"/>
      <c r="P105" s="2" t="inlineStr">
        <is>
          <t>ZM06</t>
        </is>
      </c>
      <c r="Q105" s="2" t="n"/>
      <c r="R105" s="28" t="n"/>
      <c r="S105" s="28" t="inlineStr">
        <is>
          <t>11HAC25GH101</t>
        </is>
      </c>
      <c r="T105" s="32" t="n"/>
    </row>
    <row r="106" ht="30" customFormat="1" customHeight="1" s="5">
      <c r="A106" s="17" t="n">
        <v>104</v>
      </c>
      <c r="B106" s="17" t="inlineStr">
        <is>
          <t>KIPP11</t>
        </is>
      </c>
      <c r="C106" s="2" t="inlineStr">
        <is>
          <t>11HAC25CF003</t>
        </is>
      </c>
      <c r="D106" s="14" t="inlineStr">
        <is>
          <t>IP DRUM FW FLOW B</t>
        </is>
      </c>
      <c r="E106" s="37" t="n">
        <v>46113</v>
      </c>
      <c r="F106" s="103" t="n">
        <v>-621.6</v>
      </c>
      <c r="G106" s="103" t="n">
        <v>621.6</v>
      </c>
      <c r="H106" s="103" t="n">
        <v>0</v>
      </c>
      <c r="I106" s="103" t="n">
        <v>460</v>
      </c>
      <c r="J106" s="4" t="inlineStr">
        <is>
          <t>mBar</t>
        </is>
      </c>
      <c r="K106" s="33" t="inlineStr">
        <is>
          <t>ROSEMOUNT</t>
        </is>
      </c>
      <c r="L106" s="33" t="inlineStr">
        <is>
          <t>2051 PT</t>
        </is>
      </c>
      <c r="M106" s="20" t="n">
        <v>214467</v>
      </c>
      <c r="N106" s="2">
        <f>IF(E106="","Waiting","Calibrated")</f>
        <v/>
      </c>
      <c r="O106" s="2" t="n"/>
      <c r="P106" s="2" t="inlineStr">
        <is>
          <t>ZM06</t>
        </is>
      </c>
      <c r="Q106" s="2" t="n"/>
      <c r="R106" s="28" t="n"/>
      <c r="S106" s="28" t="inlineStr">
        <is>
          <t>11HAC25GH101</t>
        </is>
      </c>
      <c r="T106" s="32" t="n"/>
    </row>
    <row r="107" ht="30" customFormat="1" customHeight="1" s="5">
      <c r="A107" s="17" t="n">
        <v>105</v>
      </c>
      <c r="B107" s="17" t="inlineStr">
        <is>
          <t>KIPP11</t>
        </is>
      </c>
      <c r="C107" s="2" t="inlineStr">
        <is>
          <t>11HAC25CP001</t>
        </is>
      </c>
      <c r="D107" s="14" t="inlineStr">
        <is>
          <t>IP ECO O/L PT</t>
        </is>
      </c>
      <c r="E107" s="37" t="n"/>
      <c r="F107" s="103" t="n">
        <v>-1.01</v>
      </c>
      <c r="G107" s="103" t="n">
        <v>275.79</v>
      </c>
      <c r="H107" s="103" t="n">
        <v>0</v>
      </c>
      <c r="I107" s="103" t="n">
        <v>100</v>
      </c>
      <c r="J107" s="4" t="inlineStr">
        <is>
          <t>Bar</t>
        </is>
      </c>
      <c r="K107" s="33" t="inlineStr">
        <is>
          <t>ROSEMOUNT</t>
        </is>
      </c>
      <c r="L107" s="33" t="inlineStr">
        <is>
          <t>2051TG</t>
        </is>
      </c>
      <c r="M107" s="20" t="n">
        <v>210426</v>
      </c>
      <c r="N107" s="2">
        <f>IF(E107="","Waiting","Calibrated")</f>
        <v/>
      </c>
      <c r="O107" s="2" t="n"/>
      <c r="P107" s="2" t="inlineStr">
        <is>
          <t>ZM06</t>
        </is>
      </c>
      <c r="Q107" s="2" t="n"/>
      <c r="R107" s="28" t="n"/>
      <c r="S107" s="28" t="inlineStr">
        <is>
          <t>11HAC25GH101</t>
        </is>
      </c>
      <c r="T107" s="32" t="n"/>
    </row>
    <row r="108" ht="30" customFormat="1" customHeight="1" s="5">
      <c r="A108" s="17" t="n">
        <v>106</v>
      </c>
      <c r="B108" s="17" t="inlineStr">
        <is>
          <t>KIPP11</t>
        </is>
      </c>
      <c r="C108" s="2" t="inlineStr">
        <is>
          <t>11HAC58CF002</t>
        </is>
      </c>
      <c r="D108" s="14" t="inlineStr">
        <is>
          <t>HP ECO O/L FT 1</t>
        </is>
      </c>
      <c r="E108" s="37" t="n"/>
      <c r="F108" s="103" t="n">
        <v>-621.6</v>
      </c>
      <c r="G108" s="103" t="n">
        <v>621.6</v>
      </c>
      <c r="H108" s="103" t="n">
        <v>0</v>
      </c>
      <c r="I108" s="103" t="n">
        <v>302</v>
      </c>
      <c r="J108" s="4" t="inlineStr">
        <is>
          <t>mBar</t>
        </is>
      </c>
      <c r="K108" s="33" t="inlineStr">
        <is>
          <t>ROSEMOUNT</t>
        </is>
      </c>
      <c r="L108" s="33" t="inlineStr">
        <is>
          <t>2051 CD</t>
        </is>
      </c>
      <c r="M108" s="20" t="n">
        <v>214452</v>
      </c>
      <c r="N108" s="2">
        <f>IF(E108="","Waiting","Calibrated")</f>
        <v/>
      </c>
      <c r="O108" s="2" t="n"/>
      <c r="P108" s="2" t="inlineStr">
        <is>
          <t>ZM06</t>
        </is>
      </c>
      <c r="Q108" s="2" t="n"/>
      <c r="R108" s="28" t="n"/>
      <c r="S108" s="28" t="inlineStr">
        <is>
          <t>11HAC58GH101</t>
        </is>
      </c>
      <c r="T108" s="32" t="n"/>
    </row>
    <row r="109" ht="30" customFormat="1" customHeight="1" s="5">
      <c r="A109" s="17" t="n">
        <v>107</v>
      </c>
      <c r="B109" s="17" t="inlineStr">
        <is>
          <t>KIPP11</t>
        </is>
      </c>
      <c r="C109" s="2" t="inlineStr">
        <is>
          <t>11HAC58CF003</t>
        </is>
      </c>
      <c r="D109" s="14" t="inlineStr">
        <is>
          <t>HP ECO O/L FT 2</t>
        </is>
      </c>
      <c r="E109" s="37" t="n"/>
      <c r="F109" s="103" t="n">
        <v>-621.6</v>
      </c>
      <c r="G109" s="103" t="n">
        <v>621.6</v>
      </c>
      <c r="H109" s="103" t="n">
        <v>0</v>
      </c>
      <c r="I109" s="103" t="n">
        <v>302</v>
      </c>
      <c r="J109" s="4" t="inlineStr">
        <is>
          <t>mBar</t>
        </is>
      </c>
      <c r="K109" s="33" t="inlineStr">
        <is>
          <t>ROSEMOUNT</t>
        </is>
      </c>
      <c r="L109" s="33" t="inlineStr">
        <is>
          <t>2051 CD</t>
        </is>
      </c>
      <c r="M109" s="20" t="n">
        <v>214453</v>
      </c>
      <c r="N109" s="2">
        <f>IF(E109="","Waiting","Calibrated")</f>
        <v/>
      </c>
      <c r="O109" s="2" t="n"/>
      <c r="P109" s="2" t="inlineStr">
        <is>
          <t>ZM06</t>
        </is>
      </c>
      <c r="Q109" s="2" t="n"/>
      <c r="R109" s="28" t="n"/>
      <c r="S109" s="28" t="inlineStr">
        <is>
          <t>11HAC58GH101</t>
        </is>
      </c>
      <c r="T109" s="32" t="n"/>
    </row>
    <row r="110" ht="30" customFormat="1" customHeight="1" s="5">
      <c r="A110" s="17" t="n">
        <v>108</v>
      </c>
      <c r="B110" s="17" t="inlineStr">
        <is>
          <t>KIPP11</t>
        </is>
      </c>
      <c r="C110" s="2" t="inlineStr">
        <is>
          <t>11HAC58CP001</t>
        </is>
      </c>
      <c r="D110" s="14" t="inlineStr">
        <is>
          <t>HP ECO O/L PT</t>
        </is>
      </c>
      <c r="E110" s="37" t="n"/>
      <c r="F110" s="103" t="n">
        <v>0</v>
      </c>
      <c r="G110" s="103" t="n">
        <v>689.7</v>
      </c>
      <c r="H110" s="103" t="n">
        <v>0</v>
      </c>
      <c r="I110" s="103" t="n">
        <v>300</v>
      </c>
      <c r="J110" s="4" t="inlineStr">
        <is>
          <t>Bar</t>
        </is>
      </c>
      <c r="K110" s="33" t="inlineStr">
        <is>
          <t>ROSEMOUNT</t>
        </is>
      </c>
      <c r="L110" s="33" t="inlineStr">
        <is>
          <t>2050 TG</t>
        </is>
      </c>
      <c r="M110" s="20" t="n">
        <v>210420</v>
      </c>
      <c r="N110" s="2">
        <f>IF(E110="","Waiting","Calibrated")</f>
        <v/>
      </c>
      <c r="O110" s="2" t="n"/>
      <c r="P110" s="2" t="inlineStr">
        <is>
          <t>ZM06</t>
        </is>
      </c>
      <c r="Q110" s="2" t="n"/>
      <c r="R110" s="28" t="n"/>
      <c r="S110" s="28" t="inlineStr">
        <is>
          <t>11HAC58GH101</t>
        </is>
      </c>
      <c r="T110" s="32" t="n"/>
    </row>
    <row r="111" ht="30" customFormat="1" customHeight="1" s="5">
      <c r="A111" s="17" t="n">
        <v>109</v>
      </c>
      <c r="B111" s="17" t="inlineStr">
        <is>
          <t>KIPP11</t>
        </is>
      </c>
      <c r="C111" s="2" t="inlineStr">
        <is>
          <t>11HAD10CL001</t>
        </is>
      </c>
      <c r="D111" s="14" t="inlineStr">
        <is>
          <t>LP DRUM LT 1</t>
        </is>
      </c>
      <c r="E111" s="37" t="n">
        <v>46115</v>
      </c>
      <c r="F111" s="103" t="n">
        <v>-6350</v>
      </c>
      <c r="G111" s="103" t="n">
        <v>6350</v>
      </c>
      <c r="H111" s="103" t="n">
        <v>-39</v>
      </c>
      <c r="I111" s="103" t="n">
        <v>-1294</v>
      </c>
      <c r="J111" s="4" t="inlineStr">
        <is>
          <t>mmH2O</t>
        </is>
      </c>
      <c r="K111" s="19" t="inlineStr">
        <is>
          <t>ROSEMOUNT</t>
        </is>
      </c>
      <c r="L111" s="19" t="inlineStr">
        <is>
          <t>2051 PT</t>
        </is>
      </c>
      <c r="M111" s="19" t="n">
        <v>3576009</v>
      </c>
      <c r="N111" s="2">
        <f>IF(E111="","Waiting","Calibrated")</f>
        <v/>
      </c>
      <c r="O111" s="2" t="n"/>
      <c r="P111" s="2" t="inlineStr">
        <is>
          <t>ZM06</t>
        </is>
      </c>
      <c r="Q111" s="2" t="n"/>
      <c r="R111" s="28" t="n"/>
      <c r="S111" s="28" t="inlineStr">
        <is>
          <t>11HAC25GH101</t>
        </is>
      </c>
      <c r="T111" s="32" t="n"/>
    </row>
    <row r="112" ht="30" customFormat="1" customHeight="1" s="5">
      <c r="A112" s="17" t="n">
        <v>110</v>
      </c>
      <c r="B112" s="17" t="inlineStr">
        <is>
          <t>KIPP11</t>
        </is>
      </c>
      <c r="C112" s="2" t="inlineStr">
        <is>
          <t>11HAD10CL002</t>
        </is>
      </c>
      <c r="D112" s="14" t="inlineStr">
        <is>
          <t>LP DRUM LT 2</t>
        </is>
      </c>
      <c r="E112" s="37" t="n">
        <v>46115</v>
      </c>
      <c r="F112" s="103" t="n">
        <v>-6350</v>
      </c>
      <c r="G112" s="103" t="n">
        <v>6350</v>
      </c>
      <c r="H112" s="103" t="n">
        <v>-39</v>
      </c>
      <c r="I112" s="103" t="n">
        <v>-1294</v>
      </c>
      <c r="J112" s="4" t="inlineStr">
        <is>
          <t>mmH2O</t>
        </is>
      </c>
      <c r="K112" s="19" t="inlineStr">
        <is>
          <t>ROSEMOUNT</t>
        </is>
      </c>
      <c r="L112" s="19" t="inlineStr">
        <is>
          <t>2051 PT</t>
        </is>
      </c>
      <c r="M112" s="19" t="n">
        <v>3576010</v>
      </c>
      <c r="N112" s="2">
        <f>IF(E112="","Waiting","Calibrated")</f>
        <v/>
      </c>
      <c r="O112" s="2" t="n"/>
      <c r="P112" s="2" t="inlineStr">
        <is>
          <t>ZM06</t>
        </is>
      </c>
      <c r="Q112" s="2" t="n"/>
      <c r="R112" s="28" t="n"/>
      <c r="S112" s="28" t="inlineStr">
        <is>
          <t>11HAD50GH102</t>
        </is>
      </c>
      <c r="T112" s="32" t="n"/>
    </row>
    <row r="113" ht="30" customFormat="1" customHeight="1" s="5">
      <c r="A113" s="17" t="n">
        <v>111</v>
      </c>
      <c r="B113" s="17" t="inlineStr">
        <is>
          <t>KIPP11</t>
        </is>
      </c>
      <c r="C113" s="2" t="inlineStr">
        <is>
          <t>11HAD10CL003</t>
        </is>
      </c>
      <c r="D113" s="14" t="inlineStr">
        <is>
          <t>LP DRUM LT 3</t>
        </is>
      </c>
      <c r="E113" s="37" t="inlineStr">
        <is>
          <t>3.04.2026</t>
        </is>
      </c>
      <c r="F113" s="103" t="n">
        <v>-6350</v>
      </c>
      <c r="G113" s="103" t="n">
        <v>6350</v>
      </c>
      <c r="H113" s="103" t="n">
        <v>-39</v>
      </c>
      <c r="I113" s="103" t="n">
        <v>-1294</v>
      </c>
      <c r="J113" s="4" t="inlineStr">
        <is>
          <t>mmH2O</t>
        </is>
      </c>
      <c r="K113" s="19" t="inlineStr">
        <is>
          <t>ROSEMOUNT</t>
        </is>
      </c>
      <c r="L113" s="19" t="inlineStr">
        <is>
          <t>2051 PT</t>
        </is>
      </c>
      <c r="M113" s="19" t="n">
        <v>3576011</v>
      </c>
      <c r="N113" s="2">
        <f>IF(E113="","Waiting","Calibrated")</f>
        <v/>
      </c>
      <c r="O113" s="2" t="n"/>
      <c r="P113" s="2" t="inlineStr">
        <is>
          <t>ZM06</t>
        </is>
      </c>
      <c r="Q113" s="2" t="n"/>
      <c r="R113" s="28" t="n"/>
      <c r="S113" s="28" t="inlineStr">
        <is>
          <t>11HAD50GH102</t>
        </is>
      </c>
      <c r="T113" s="32" t="n"/>
    </row>
    <row r="114" ht="30" customFormat="1" customHeight="1" s="5">
      <c r="A114" s="17" t="n">
        <v>112</v>
      </c>
      <c r="B114" s="17" t="inlineStr">
        <is>
          <t>KIPP11</t>
        </is>
      </c>
      <c r="C114" s="2" t="inlineStr">
        <is>
          <t>11HAD10CP001</t>
        </is>
      </c>
      <c r="D114" s="14" t="inlineStr">
        <is>
          <t>LP DRUM PT 1</t>
        </is>
      </c>
      <c r="E114" s="37" t="n"/>
      <c r="F114" s="103" t="n">
        <v>-1.01</v>
      </c>
      <c r="G114" s="103" t="n">
        <v>55.16</v>
      </c>
      <c r="H114" s="103" t="n">
        <v>0</v>
      </c>
      <c r="I114" s="103" t="n">
        <v>15</v>
      </c>
      <c r="J114" s="4" t="inlineStr">
        <is>
          <t>Bar</t>
        </is>
      </c>
      <c r="K114" s="19" t="inlineStr">
        <is>
          <t>ROSEMOUNT</t>
        </is>
      </c>
      <c r="L114" s="19" t="inlineStr">
        <is>
          <t>2051 PT</t>
        </is>
      </c>
      <c r="M114" s="20" t="n">
        <v>3576027</v>
      </c>
      <c r="N114" s="2">
        <f>IF(E114="","Waiting","Calibrated")</f>
        <v/>
      </c>
      <c r="O114" s="2" t="n"/>
      <c r="P114" s="2" t="inlineStr">
        <is>
          <t>ZM06</t>
        </is>
      </c>
      <c r="Q114" s="2" t="n"/>
      <c r="R114" s="28" t="n"/>
      <c r="S114" s="28" t="inlineStr">
        <is>
          <t>11HAD30GH101</t>
        </is>
      </c>
      <c r="T114" s="32" t="n"/>
    </row>
    <row r="115" ht="30" customFormat="1" customHeight="1" s="5">
      <c r="A115" s="17" t="n">
        <v>113</v>
      </c>
      <c r="B115" s="17" t="inlineStr">
        <is>
          <t>KIPP11</t>
        </is>
      </c>
      <c r="C115" s="2" t="inlineStr">
        <is>
          <t>11HAD10CP002</t>
        </is>
      </c>
      <c r="D115" s="14" t="inlineStr">
        <is>
          <t>LP DRUM PT 2</t>
        </is>
      </c>
      <c r="E115" s="37" t="n"/>
      <c r="F115" s="103" t="n">
        <v>-1.01</v>
      </c>
      <c r="G115" s="103" t="n">
        <v>55.16</v>
      </c>
      <c r="H115" s="103" t="n">
        <v>0</v>
      </c>
      <c r="I115" s="103" t="n">
        <v>15</v>
      </c>
      <c r="J115" s="4" t="inlineStr">
        <is>
          <t>Bar</t>
        </is>
      </c>
      <c r="K115" s="19" t="inlineStr">
        <is>
          <t>ROSEMOUNT</t>
        </is>
      </c>
      <c r="L115" s="19" t="inlineStr">
        <is>
          <t>2051 PT</t>
        </is>
      </c>
      <c r="M115" s="20" t="n">
        <v>3576028</v>
      </c>
      <c r="N115" s="2">
        <f>IF(E115="","Waiting","Calibrated")</f>
        <v/>
      </c>
      <c r="O115" s="2" t="n"/>
      <c r="P115" s="2" t="inlineStr">
        <is>
          <t>ZM06</t>
        </is>
      </c>
      <c r="Q115" s="2" t="n"/>
      <c r="R115" s="28" t="n"/>
      <c r="S115" s="28" t="inlineStr">
        <is>
          <t>11HAD30GH101</t>
        </is>
      </c>
      <c r="T115" s="32" t="n"/>
    </row>
    <row r="116" ht="30" customFormat="1" customHeight="1" s="5">
      <c r="A116" s="17" t="n">
        <v>114</v>
      </c>
      <c r="B116" s="17" t="inlineStr">
        <is>
          <t>KIPP11</t>
        </is>
      </c>
      <c r="C116" s="2" t="inlineStr">
        <is>
          <t>11HAD10CP003</t>
        </is>
      </c>
      <c r="D116" s="14" t="inlineStr">
        <is>
          <t>LP DRUM PT 3</t>
        </is>
      </c>
      <c r="E116" s="37" t="n"/>
      <c r="F116" s="103" t="n">
        <v>-1.01</v>
      </c>
      <c r="G116" s="103" t="n">
        <v>55.16</v>
      </c>
      <c r="H116" s="103" t="n">
        <v>0</v>
      </c>
      <c r="I116" s="103" t="n">
        <v>15</v>
      </c>
      <c r="J116" s="4" t="inlineStr">
        <is>
          <t>Bar</t>
        </is>
      </c>
      <c r="K116" s="19" t="inlineStr">
        <is>
          <t>ROSEMOUNT</t>
        </is>
      </c>
      <c r="L116" s="19" t="inlineStr">
        <is>
          <t>2051 PT</t>
        </is>
      </c>
      <c r="M116" s="20" t="n">
        <v>3576029</v>
      </c>
      <c r="N116" s="2">
        <f>IF(E116="","Waiting","Calibrated")</f>
        <v/>
      </c>
      <c r="O116" s="2" t="n"/>
      <c r="P116" s="2" t="inlineStr">
        <is>
          <t>ZM06</t>
        </is>
      </c>
      <c r="Q116" s="2" t="n"/>
      <c r="R116" s="28" t="n"/>
      <c r="S116" s="28" t="inlineStr">
        <is>
          <t>11HAD30GH101</t>
        </is>
      </c>
      <c r="T116" s="32" t="n"/>
    </row>
    <row r="117" ht="30" customFormat="1" customHeight="1" s="5">
      <c r="A117" s="17" t="n">
        <v>115</v>
      </c>
      <c r="B117" s="17" t="inlineStr">
        <is>
          <t>KIPP11</t>
        </is>
      </c>
      <c r="C117" s="2" t="inlineStr">
        <is>
          <t>11HAD30CL001</t>
        </is>
      </c>
      <c r="D117" s="14" t="inlineStr">
        <is>
          <t>IP DRUM LT 1</t>
        </is>
      </c>
      <c r="E117" s="37" t="n">
        <v>46115</v>
      </c>
      <c r="F117" s="103" t="n">
        <v>-6350</v>
      </c>
      <c r="G117" s="103" t="n">
        <v>6350</v>
      </c>
      <c r="H117" s="103" t="n">
        <v>-34</v>
      </c>
      <c r="I117" s="103" t="n">
        <v>-1143</v>
      </c>
      <c r="J117" s="4" t="inlineStr">
        <is>
          <t>mmH2O</t>
        </is>
      </c>
      <c r="K117" s="19" t="inlineStr">
        <is>
          <t>ROSEMOUNT</t>
        </is>
      </c>
      <c r="L117" s="19" t="inlineStr">
        <is>
          <t>2051 PT</t>
        </is>
      </c>
      <c r="M117" s="19" t="n">
        <v>3576006</v>
      </c>
      <c r="N117" s="2">
        <f>IF(E117="","Waiting","Calibrated")</f>
        <v/>
      </c>
      <c r="O117" s="2" t="n"/>
      <c r="P117" s="2" t="inlineStr">
        <is>
          <t>ZM06</t>
        </is>
      </c>
      <c r="Q117" s="2" t="n"/>
      <c r="R117" s="28" t="n"/>
      <c r="S117" s="28" t="inlineStr">
        <is>
          <t>11HAC25GH101</t>
        </is>
      </c>
      <c r="T117" s="32" t="n"/>
    </row>
    <row r="118" ht="30" customFormat="1" customHeight="1" s="5">
      <c r="A118" s="17" t="n">
        <v>116</v>
      </c>
      <c r="B118" s="17" t="inlineStr">
        <is>
          <t>KIPP11</t>
        </is>
      </c>
      <c r="C118" s="2" t="inlineStr">
        <is>
          <t>11HAD30CL002</t>
        </is>
      </c>
      <c r="D118" s="14" t="inlineStr">
        <is>
          <t>IP DRUM LT 2</t>
        </is>
      </c>
      <c r="E118" s="37" t="n">
        <v>46115</v>
      </c>
      <c r="F118" s="103" t="n">
        <v>-6350</v>
      </c>
      <c r="G118" s="103" t="n">
        <v>6350</v>
      </c>
      <c r="H118" s="103" t="n">
        <v>-34</v>
      </c>
      <c r="I118" s="103" t="n">
        <v>-1143</v>
      </c>
      <c r="J118" s="4" t="inlineStr">
        <is>
          <t>mmH2O</t>
        </is>
      </c>
      <c r="K118" s="19" t="inlineStr">
        <is>
          <t>ROSEMOUNT</t>
        </is>
      </c>
      <c r="L118" s="19" t="inlineStr">
        <is>
          <t>2051 PT</t>
        </is>
      </c>
      <c r="M118" s="19" t="n">
        <v>3576007</v>
      </c>
      <c r="N118" s="2">
        <f>IF(E118="","Waiting","Calibrated")</f>
        <v/>
      </c>
      <c r="O118" s="2" t="n"/>
      <c r="P118" s="2" t="inlineStr">
        <is>
          <t>ZM06</t>
        </is>
      </c>
      <c r="Q118" s="2" t="n"/>
      <c r="R118" s="28" t="n"/>
      <c r="S118" s="28" t="inlineStr">
        <is>
          <t>11HAD50GH102</t>
        </is>
      </c>
      <c r="T118" s="32" t="n"/>
    </row>
    <row r="119" ht="30" customFormat="1" customHeight="1" s="5">
      <c r="A119" s="17" t="n">
        <v>117</v>
      </c>
      <c r="B119" s="17" t="inlineStr">
        <is>
          <t>KIPP11</t>
        </is>
      </c>
      <c r="C119" s="2" t="inlineStr">
        <is>
          <t>11HAD30CL003</t>
        </is>
      </c>
      <c r="D119" s="14" t="inlineStr">
        <is>
          <t>IP DRUM LT 3</t>
        </is>
      </c>
      <c r="E119" s="37" t="n">
        <v>46115</v>
      </c>
      <c r="F119" s="103" t="n">
        <v>-6350</v>
      </c>
      <c r="G119" s="103" t="n">
        <v>6350</v>
      </c>
      <c r="H119" s="103" t="n">
        <v>-34</v>
      </c>
      <c r="I119" s="103" t="n">
        <v>-1143</v>
      </c>
      <c r="J119" s="4" t="inlineStr">
        <is>
          <t>mmH2O</t>
        </is>
      </c>
      <c r="K119" s="19" t="inlineStr">
        <is>
          <t>ROSEMOUNT</t>
        </is>
      </c>
      <c r="L119" s="19" t="inlineStr">
        <is>
          <t>2051 PT</t>
        </is>
      </c>
      <c r="M119" s="19" t="n">
        <v>3576008</v>
      </c>
      <c r="N119" s="2">
        <f>IF(E119="","Waiting","Calibrated")</f>
        <v/>
      </c>
      <c r="O119" s="2" t="n"/>
      <c r="P119" s="2" t="inlineStr">
        <is>
          <t>ZM06</t>
        </is>
      </c>
      <c r="Q119" s="2" t="n"/>
      <c r="R119" s="28" t="n"/>
      <c r="S119" s="28" t="inlineStr">
        <is>
          <t>11HAD50GH102</t>
        </is>
      </c>
      <c r="T119" s="32" t="n"/>
    </row>
    <row r="120" ht="30" customFormat="1" customHeight="1" s="5">
      <c r="A120" s="17" t="n">
        <v>118</v>
      </c>
      <c r="B120" s="17" t="inlineStr">
        <is>
          <t>KIPP11</t>
        </is>
      </c>
      <c r="C120" s="2" t="inlineStr">
        <is>
          <t>11HAD30CP001</t>
        </is>
      </c>
      <c r="D120" s="14" t="inlineStr">
        <is>
          <t>IP DRUM PT 1</t>
        </is>
      </c>
      <c r="E120" s="37" t="n"/>
      <c r="F120" s="103" t="n">
        <v>-1.01</v>
      </c>
      <c r="G120" s="103" t="n">
        <v>275.79</v>
      </c>
      <c r="H120" s="103" t="n">
        <v>0</v>
      </c>
      <c r="I120" s="103" t="n">
        <v>60</v>
      </c>
      <c r="J120" s="4" t="inlineStr">
        <is>
          <t>Bar</t>
        </is>
      </c>
      <c r="K120" s="19" t="inlineStr">
        <is>
          <t>ROSEMOUNT</t>
        </is>
      </c>
      <c r="L120" s="19" t="inlineStr">
        <is>
          <t>2051 PT</t>
        </is>
      </c>
      <c r="M120" s="20" t="n">
        <v>3575997</v>
      </c>
      <c r="N120" s="2">
        <f>IF(E120="","Waiting","Calibrated")</f>
        <v/>
      </c>
      <c r="O120" s="2" t="n"/>
      <c r="P120" s="2" t="inlineStr">
        <is>
          <t>ZM06</t>
        </is>
      </c>
      <c r="Q120" s="2" t="n"/>
      <c r="R120" s="28" t="n"/>
      <c r="S120" s="28" t="inlineStr">
        <is>
          <t>11HAD30GH101</t>
        </is>
      </c>
      <c r="T120" s="32" t="n"/>
    </row>
    <row r="121" ht="30" customFormat="1" customHeight="1" s="5">
      <c r="A121" s="17" t="n">
        <v>119</v>
      </c>
      <c r="B121" s="17" t="inlineStr">
        <is>
          <t>KIPP11</t>
        </is>
      </c>
      <c r="C121" s="2" t="inlineStr">
        <is>
          <t>11HAD30CP002</t>
        </is>
      </c>
      <c r="D121" s="14" t="inlineStr">
        <is>
          <t>IP DRUM PT 2</t>
        </is>
      </c>
      <c r="E121" s="37" t="n"/>
      <c r="F121" s="103" t="n">
        <v>-1.01</v>
      </c>
      <c r="G121" s="103" t="n">
        <v>275.79</v>
      </c>
      <c r="H121" s="103" t="n">
        <v>0</v>
      </c>
      <c r="I121" s="103" t="n">
        <v>60</v>
      </c>
      <c r="J121" s="4" t="inlineStr">
        <is>
          <t>Bar</t>
        </is>
      </c>
      <c r="K121" s="19" t="inlineStr">
        <is>
          <t>ROSEMOUNT</t>
        </is>
      </c>
      <c r="L121" s="19" t="inlineStr">
        <is>
          <t>2051 PT</t>
        </is>
      </c>
      <c r="M121" s="20" t="n">
        <v>3575998</v>
      </c>
      <c r="N121" s="2">
        <f>IF(E121="","Waiting","Calibrated")</f>
        <v/>
      </c>
      <c r="O121" s="2" t="n"/>
      <c r="P121" s="2" t="inlineStr">
        <is>
          <t>ZM06</t>
        </is>
      </c>
      <c r="Q121" s="2" t="n"/>
      <c r="R121" s="28" t="n"/>
      <c r="S121" s="28" t="inlineStr">
        <is>
          <t>11HAD30GH101</t>
        </is>
      </c>
      <c r="T121" s="32" t="n"/>
    </row>
    <row r="122" ht="30" customFormat="1" customHeight="1" s="5">
      <c r="A122" s="17" t="n">
        <v>120</v>
      </c>
      <c r="B122" s="17" t="inlineStr">
        <is>
          <t>KIPP11</t>
        </is>
      </c>
      <c r="C122" s="2" t="inlineStr">
        <is>
          <t>11HAD30CP003</t>
        </is>
      </c>
      <c r="D122" s="14" t="inlineStr">
        <is>
          <t>IP DRUM PT 3</t>
        </is>
      </c>
      <c r="E122" s="37" t="n"/>
      <c r="F122" s="103" t="n">
        <v>-1.01</v>
      </c>
      <c r="G122" s="103" t="n">
        <v>275.79</v>
      </c>
      <c r="H122" s="103" t="n">
        <v>0</v>
      </c>
      <c r="I122" s="103" t="n">
        <v>60</v>
      </c>
      <c r="J122" s="4" t="inlineStr">
        <is>
          <t>Bar</t>
        </is>
      </c>
      <c r="K122" s="19" t="inlineStr">
        <is>
          <t>ROSEMOUNT</t>
        </is>
      </c>
      <c r="L122" s="19" t="inlineStr">
        <is>
          <t>2051 PT</t>
        </is>
      </c>
      <c r="M122" s="20" t="n">
        <v>3575999</v>
      </c>
      <c r="N122" s="2">
        <f>IF(E122="","Waiting","Calibrated")</f>
        <v/>
      </c>
      <c r="O122" s="2" t="n"/>
      <c r="P122" s="2" t="inlineStr">
        <is>
          <t>ZM06</t>
        </is>
      </c>
      <c r="Q122" s="2" t="n"/>
      <c r="R122" s="28" t="n"/>
      <c r="S122" s="28" t="inlineStr">
        <is>
          <t>11HAD30GH101</t>
        </is>
      </c>
      <c r="T122" s="32" t="n"/>
    </row>
    <row r="123" ht="30" customFormat="1" customHeight="1" s="5">
      <c r="A123" s="17" t="n">
        <v>121</v>
      </c>
      <c r="B123" s="17" t="inlineStr">
        <is>
          <t>KIPP11</t>
        </is>
      </c>
      <c r="C123" s="2" t="inlineStr">
        <is>
          <t>11HAD50CL001</t>
        </is>
      </c>
      <c r="D123" s="14" t="inlineStr">
        <is>
          <t>HP DRUM LT 1</t>
        </is>
      </c>
      <c r="E123" s="37" t="n">
        <v>46115</v>
      </c>
      <c r="F123" s="103" t="n">
        <v>-6350</v>
      </c>
      <c r="G123" s="103" t="n">
        <v>6350</v>
      </c>
      <c r="H123" s="103" t="n">
        <v>-39</v>
      </c>
      <c r="I123" s="103" t="n">
        <v>-1294</v>
      </c>
      <c r="J123" s="4" t="inlineStr">
        <is>
          <t>mmH2O</t>
        </is>
      </c>
      <c r="K123" s="33" t="inlineStr">
        <is>
          <t>ROSEMOUNT</t>
        </is>
      </c>
      <c r="L123" s="33" t="inlineStr">
        <is>
          <t>2051 PT</t>
        </is>
      </c>
      <c r="M123" s="20" t="n">
        <v>3576004</v>
      </c>
      <c r="N123" s="2">
        <f>IF(E123="","Waiting","Calibrated")</f>
        <v/>
      </c>
      <c r="O123" s="2" t="n"/>
      <c r="P123" s="2" t="inlineStr">
        <is>
          <t>ZM06</t>
        </is>
      </c>
      <c r="Q123" s="2" t="n"/>
      <c r="R123" s="28" t="n"/>
      <c r="S123" s="28" t="inlineStr">
        <is>
          <t>11HAC25GH101</t>
        </is>
      </c>
      <c r="T123" s="32" t="n"/>
    </row>
    <row r="124" ht="30" customFormat="1" customHeight="1" s="5">
      <c r="A124" s="17" t="n">
        <v>122</v>
      </c>
      <c r="B124" s="17" t="inlineStr">
        <is>
          <t>KIPP11</t>
        </is>
      </c>
      <c r="C124" s="2" t="inlineStr">
        <is>
          <t>11HAD50CL002</t>
        </is>
      </c>
      <c r="D124" s="14" t="inlineStr">
        <is>
          <t>HP DRUM LT 2</t>
        </is>
      </c>
      <c r="E124" s="37" t="n">
        <v>46115</v>
      </c>
      <c r="F124" s="103" t="n">
        <v>-6350</v>
      </c>
      <c r="G124" s="103" t="n">
        <v>6350</v>
      </c>
      <c r="H124" s="103" t="n">
        <v>-39</v>
      </c>
      <c r="I124" s="103" t="n">
        <v>-1294</v>
      </c>
      <c r="J124" s="4" t="inlineStr">
        <is>
          <t>mmH2O</t>
        </is>
      </c>
      <c r="K124" s="19" t="inlineStr">
        <is>
          <t>ROSEMOUNT</t>
        </is>
      </c>
      <c r="L124" s="19" t="inlineStr">
        <is>
          <t>2051 PT</t>
        </is>
      </c>
      <c r="M124" s="19" t="n">
        <v>3576003</v>
      </c>
      <c r="N124" s="2">
        <f>IF(E124="","Waiting","Calibrated")</f>
        <v/>
      </c>
      <c r="O124" s="2" t="n"/>
      <c r="P124" s="2" t="inlineStr">
        <is>
          <t>ZM06</t>
        </is>
      </c>
      <c r="Q124" s="2" t="n"/>
      <c r="R124" s="28" t="n"/>
      <c r="S124" s="28" t="inlineStr">
        <is>
          <t>11HAD50GH102</t>
        </is>
      </c>
      <c r="T124" s="32" t="n"/>
    </row>
    <row r="125" ht="30" customFormat="1" customHeight="1" s="5">
      <c r="A125" s="17" t="n">
        <v>123</v>
      </c>
      <c r="B125" s="17" t="inlineStr">
        <is>
          <t>KIPP11</t>
        </is>
      </c>
      <c r="C125" s="2" t="inlineStr">
        <is>
          <t>11HAD50CL003</t>
        </is>
      </c>
      <c r="D125" s="14" t="inlineStr">
        <is>
          <t>HP DRUM LT 3</t>
        </is>
      </c>
      <c r="E125" s="37" t="n">
        <v>46115</v>
      </c>
      <c r="F125" s="103" t="n">
        <v>-6350</v>
      </c>
      <c r="G125" s="103" t="n">
        <v>6350</v>
      </c>
      <c r="H125" s="103" t="n">
        <v>-39</v>
      </c>
      <c r="I125" s="103" t="n">
        <v>-1294</v>
      </c>
      <c r="J125" s="4" t="inlineStr">
        <is>
          <t>mmH2O</t>
        </is>
      </c>
      <c r="K125" s="19" t="inlineStr">
        <is>
          <t>ROSEMOUNT</t>
        </is>
      </c>
      <c r="L125" s="19" t="inlineStr">
        <is>
          <t>2051 PT</t>
        </is>
      </c>
      <c r="M125" s="19" t="n">
        <v>3576005</v>
      </c>
      <c r="N125" s="2">
        <f>IF(E125="","Waiting","Calibrated")</f>
        <v/>
      </c>
      <c r="O125" s="2" t="n"/>
      <c r="P125" s="2" t="inlineStr">
        <is>
          <t>ZM06</t>
        </is>
      </c>
      <c r="Q125" s="2" t="n"/>
      <c r="R125" s="28" t="n"/>
      <c r="S125" s="28" t="inlineStr">
        <is>
          <t>11HAD50GH102</t>
        </is>
      </c>
      <c r="T125" s="32" t="n"/>
    </row>
    <row r="126" ht="30" customFormat="1" customHeight="1" s="5">
      <c r="A126" s="17" t="n">
        <v>124</v>
      </c>
      <c r="B126" s="17" t="inlineStr">
        <is>
          <t>KIPP11</t>
        </is>
      </c>
      <c r="C126" s="2" t="inlineStr">
        <is>
          <t>11HAD50CP001</t>
        </is>
      </c>
      <c r="D126" s="14" t="inlineStr">
        <is>
          <t>HP DRUM PT 1</t>
        </is>
      </c>
      <c r="E126" s="37" t="n">
        <v>46113</v>
      </c>
      <c r="F126" s="103" t="n">
        <v>0</v>
      </c>
      <c r="G126" s="103" t="n">
        <v>689.5</v>
      </c>
      <c r="H126" s="103" t="n">
        <v>0</v>
      </c>
      <c r="I126" s="103" t="n">
        <v>200</v>
      </c>
      <c r="J126" s="4" t="inlineStr">
        <is>
          <t>Bar</t>
        </is>
      </c>
      <c r="K126" s="19" t="inlineStr">
        <is>
          <t>ROSEMOUNT</t>
        </is>
      </c>
      <c r="L126" s="19" t="inlineStr">
        <is>
          <t>2051 PT</t>
        </is>
      </c>
      <c r="M126" s="20" t="n">
        <v>3575991</v>
      </c>
      <c r="N126" s="2">
        <f>IF(E126="","Waiting","Calibrated")</f>
        <v/>
      </c>
      <c r="O126" s="2" t="n"/>
      <c r="P126" s="2" t="inlineStr">
        <is>
          <t>ZM06</t>
        </is>
      </c>
      <c r="Q126" s="2" t="n"/>
      <c r="R126" s="28" t="n"/>
      <c r="S126" s="28" t="inlineStr">
        <is>
          <t>11HAD50GH101</t>
        </is>
      </c>
      <c r="T126" s="32" t="n"/>
    </row>
    <row r="127" ht="30" customFormat="1" customHeight="1" s="5">
      <c r="A127" s="17" t="n">
        <v>125</v>
      </c>
      <c r="B127" s="17" t="inlineStr">
        <is>
          <t>KIPP11</t>
        </is>
      </c>
      <c r="C127" s="2" t="inlineStr">
        <is>
          <t>11HAD50CP002</t>
        </is>
      </c>
      <c r="D127" s="14" t="inlineStr">
        <is>
          <t>HP DRUM PT 2</t>
        </is>
      </c>
      <c r="E127" s="37" t="n">
        <v>46113</v>
      </c>
      <c r="F127" s="103" t="n">
        <v>0</v>
      </c>
      <c r="G127" s="103" t="n">
        <v>689.5</v>
      </c>
      <c r="H127" s="103" t="n">
        <v>0</v>
      </c>
      <c r="I127" s="103" t="n">
        <v>200</v>
      </c>
      <c r="J127" s="4" t="inlineStr">
        <is>
          <t>Bar</t>
        </is>
      </c>
      <c r="K127" s="19" t="inlineStr">
        <is>
          <t>ROSEMOUNT</t>
        </is>
      </c>
      <c r="L127" s="19" t="inlineStr">
        <is>
          <t>2051 PT</t>
        </is>
      </c>
      <c r="M127" s="20" t="n">
        <v>3575992</v>
      </c>
      <c r="N127" s="2">
        <f>IF(E127="","Waiting","Calibrated")</f>
        <v/>
      </c>
      <c r="O127" s="2" t="n"/>
      <c r="P127" s="2" t="inlineStr">
        <is>
          <t>ZM06</t>
        </is>
      </c>
      <c r="Q127" s="2" t="n"/>
      <c r="R127" s="28" t="n"/>
      <c r="S127" s="28" t="inlineStr">
        <is>
          <t>11HAD50GH101</t>
        </is>
      </c>
      <c r="T127" s="32" t="n"/>
    </row>
    <row r="128" ht="30" customFormat="1" customHeight="1" s="5">
      <c r="A128" s="17" t="n">
        <v>126</v>
      </c>
      <c r="B128" s="17" t="inlineStr">
        <is>
          <t>KIPP11</t>
        </is>
      </c>
      <c r="C128" s="2" t="inlineStr">
        <is>
          <t>11HAD50CP003</t>
        </is>
      </c>
      <c r="D128" s="14" t="inlineStr">
        <is>
          <t>HP DRUM PT 3</t>
        </is>
      </c>
      <c r="E128" s="37" t="n">
        <v>46113</v>
      </c>
      <c r="F128" s="103" t="n">
        <v>0</v>
      </c>
      <c r="G128" s="103" t="n">
        <v>689.5</v>
      </c>
      <c r="H128" s="103" t="n">
        <v>0</v>
      </c>
      <c r="I128" s="103" t="n">
        <v>200</v>
      </c>
      <c r="J128" s="4" t="inlineStr">
        <is>
          <t>Bar</t>
        </is>
      </c>
      <c r="K128" s="19" t="inlineStr">
        <is>
          <t>ROSEMOUNT</t>
        </is>
      </c>
      <c r="L128" s="19" t="inlineStr">
        <is>
          <t>2051 PT</t>
        </is>
      </c>
      <c r="M128" s="20" t="n">
        <v>3575993</v>
      </c>
      <c r="N128" s="2">
        <f>IF(E128="","Waiting","Calibrated")</f>
        <v/>
      </c>
      <c r="O128" s="2" t="n"/>
      <c r="P128" s="2" t="inlineStr">
        <is>
          <t>ZM06</t>
        </is>
      </c>
      <c r="Q128" s="2" t="n"/>
      <c r="R128" s="28" t="n"/>
      <c r="S128" s="28" t="inlineStr">
        <is>
          <t>11HAD50GH101</t>
        </is>
      </c>
      <c r="T128" s="32" t="n"/>
    </row>
    <row r="129" ht="30" customFormat="1" customHeight="1" s="5">
      <c r="A129" s="17" t="n">
        <v>127</v>
      </c>
      <c r="B129" s="17" t="inlineStr">
        <is>
          <t>KIPP11</t>
        </is>
      </c>
      <c r="C129" s="2" t="inlineStr">
        <is>
          <t>11LAB20CF101</t>
        </is>
      </c>
      <c r="D129" s="14" t="inlineStr">
        <is>
          <t>HP STEAM BYPASS SPRAYAY WATER FT</t>
        </is>
      </c>
      <c r="E129" s="37" t="n"/>
      <c r="F129" s="103" t="n">
        <v>-6350</v>
      </c>
      <c r="G129" s="103" t="n">
        <v>6350</v>
      </c>
      <c r="H129" s="103" t="n">
        <v>0</v>
      </c>
      <c r="I129" s="103" t="n">
        <v>6300</v>
      </c>
      <c r="J129" s="4" t="inlineStr">
        <is>
          <t>mmH2O</t>
        </is>
      </c>
      <c r="K129" s="19" t="inlineStr">
        <is>
          <t>ROSEMOUNT</t>
        </is>
      </c>
      <c r="L129" s="19" t="inlineStr">
        <is>
          <t>2051 PT</t>
        </is>
      </c>
      <c r="M129" s="20" t="n">
        <v>214447</v>
      </c>
      <c r="N129" s="2">
        <f>IF(E129="","Waiting","Calibrated")</f>
        <v/>
      </c>
      <c r="O129" s="2" t="n"/>
      <c r="P129" s="2" t="inlineStr">
        <is>
          <t>ZM06</t>
        </is>
      </c>
      <c r="Q129" s="2" t="n"/>
      <c r="R129" s="28" t="n"/>
      <c r="S129" s="28" t="n"/>
      <c r="T129" s="32" t="n"/>
    </row>
    <row r="130" ht="30" customFormat="1" customHeight="1" s="5">
      <c r="A130" s="17" t="n">
        <v>128</v>
      </c>
      <c r="B130" s="17" t="inlineStr">
        <is>
          <t>KIPP11</t>
        </is>
      </c>
      <c r="C130" s="2" t="inlineStr">
        <is>
          <t>11LAB31CF101</t>
        </is>
      </c>
      <c r="D130" s="14" t="inlineStr">
        <is>
          <t>FEED WATER FROM CONDENSATE PREHEATER FT</t>
        </is>
      </c>
      <c r="E130" s="37" t="n"/>
      <c r="F130" s="103" t="n">
        <v>-10197.2</v>
      </c>
      <c r="G130" s="103" t="n">
        <v>10197.2</v>
      </c>
      <c r="H130" s="103" t="n">
        <v>0</v>
      </c>
      <c r="I130" s="103" t="n">
        <v>7500</v>
      </c>
      <c r="J130" s="4" t="inlineStr">
        <is>
          <t>mmH2O</t>
        </is>
      </c>
      <c r="K130" s="19" t="inlineStr">
        <is>
          <t>YOKOGAWA</t>
        </is>
      </c>
      <c r="L130" s="19" t="inlineStr">
        <is>
          <t>EJA110E</t>
        </is>
      </c>
      <c r="M130" s="19" t="inlineStr">
        <is>
          <t>91S313068</t>
        </is>
      </c>
      <c r="N130" s="2">
        <f>IF(E130="","Waiting","Calibrated")</f>
        <v/>
      </c>
      <c r="O130" s="2" t="n"/>
      <c r="P130" s="2" t="inlineStr">
        <is>
          <t>ZM06</t>
        </is>
      </c>
      <c r="Q130" s="2" t="n"/>
      <c r="R130" s="28" t="n"/>
      <c r="S130" s="28" t="inlineStr">
        <is>
          <t>10LAB10GH101</t>
        </is>
      </c>
      <c r="T130" s="32" t="n"/>
    </row>
    <row r="131" ht="30" customFormat="1" customHeight="1" s="5">
      <c r="A131" s="17" t="n">
        <v>129</v>
      </c>
      <c r="B131" s="17" t="inlineStr">
        <is>
          <t>KIPP11</t>
        </is>
      </c>
      <c r="C131" s="2" t="inlineStr">
        <is>
          <t>11LAB46CP001</t>
        </is>
      </c>
      <c r="D131" s="14" t="inlineStr">
        <is>
          <t>IP/LP FW PT</t>
        </is>
      </c>
      <c r="E131" s="37" t="n">
        <v>46114</v>
      </c>
      <c r="F131" s="103" t="n">
        <v>-1.01</v>
      </c>
      <c r="G131" s="103" t="n">
        <v>275.79</v>
      </c>
      <c r="H131" s="103" t="n">
        <v>0</v>
      </c>
      <c r="I131" s="103" t="n">
        <v>100</v>
      </c>
      <c r="J131" s="4" t="inlineStr">
        <is>
          <t>Bar</t>
        </is>
      </c>
      <c r="K131" s="19" t="inlineStr">
        <is>
          <t>ROSEMOUNT</t>
        </is>
      </c>
      <c r="L131" s="19" t="inlineStr">
        <is>
          <t>2051 PT</t>
        </is>
      </c>
      <c r="M131" s="20" t="n">
        <v>210430</v>
      </c>
      <c r="N131" s="2">
        <f>IF(E131="","Waiting","Calibrated")</f>
        <v/>
      </c>
      <c r="O131" s="2" t="n"/>
      <c r="P131" s="2" t="inlineStr">
        <is>
          <t>ZM06</t>
        </is>
      </c>
      <c r="Q131" s="2" t="n"/>
      <c r="R131" s="28" t="n"/>
      <c r="S131" s="28" t="inlineStr">
        <is>
          <t>11LAB46GH101</t>
        </is>
      </c>
      <c r="T131" s="32" t="n"/>
    </row>
    <row r="132" ht="30" customFormat="1" customHeight="1" s="5">
      <c r="A132" s="17" t="n">
        <v>130</v>
      </c>
      <c r="B132" s="17" t="inlineStr">
        <is>
          <t>KIPP11</t>
        </is>
      </c>
      <c r="C132" s="2" t="inlineStr">
        <is>
          <t>11LAB90CP001</t>
        </is>
      </c>
      <c r="D132" s="14" t="inlineStr">
        <is>
          <t>FEED WATER TO GT OTC STRAINER PDT</t>
        </is>
      </c>
      <c r="E132" s="37" t="n"/>
      <c r="F132" s="103" t="n">
        <v>-5</v>
      </c>
      <c r="G132" s="103" t="n">
        <v>5</v>
      </c>
      <c r="H132" s="103" t="n">
        <v>0</v>
      </c>
      <c r="I132" s="103" t="n">
        <v>2</v>
      </c>
      <c r="J132" s="4" t="inlineStr">
        <is>
          <t>Bar</t>
        </is>
      </c>
      <c r="K132" s="33" t="inlineStr">
        <is>
          <t>YOKOGAWA</t>
        </is>
      </c>
      <c r="L132" s="33" t="inlineStr">
        <is>
          <t>EJA110E</t>
        </is>
      </c>
      <c r="M132" s="20" t="inlineStr">
        <is>
          <t>91S313545</t>
        </is>
      </c>
      <c r="N132" s="2">
        <f>IF(E132="","Waiting","Calibrated")</f>
        <v/>
      </c>
      <c r="O132" s="2" t="n"/>
      <c r="P132" s="2" t="inlineStr">
        <is>
          <t>ZM06</t>
        </is>
      </c>
      <c r="Q132" s="2" t="n"/>
      <c r="R132" s="28" t="n"/>
      <c r="S132" s="28" t="n"/>
      <c r="T132" s="32" t="n"/>
    </row>
    <row r="133" ht="30" customFormat="1" customHeight="1" s="5">
      <c r="A133" s="17" t="n">
        <v>131</v>
      </c>
      <c r="B133" s="17" t="inlineStr">
        <is>
          <t>KIPP11</t>
        </is>
      </c>
      <c r="C133" s="2" t="inlineStr">
        <is>
          <t>11LAB91CF101</t>
        </is>
      </c>
      <c r="D133" s="14" t="inlineStr">
        <is>
          <t>FW LP OTC  FITCA</t>
        </is>
      </c>
      <c r="E133" s="37" t="n"/>
      <c r="F133" s="103" t="n">
        <v>-2486.4</v>
      </c>
      <c r="G133" s="103" t="n">
        <v>2486.4</v>
      </c>
      <c r="H133" s="103" t="n">
        <v>0</v>
      </c>
      <c r="I133" s="103" t="n">
        <v>600</v>
      </c>
      <c r="J133" s="4" t="inlineStr">
        <is>
          <t>mBar</t>
        </is>
      </c>
      <c r="K133" s="33" t="inlineStr">
        <is>
          <t>ROSEMOUNT</t>
        </is>
      </c>
      <c r="L133" s="33" t="inlineStr">
        <is>
          <t>3051CD</t>
        </is>
      </c>
      <c r="M133" s="20" t="n">
        <v>9816770</v>
      </c>
      <c r="N133" s="2">
        <f>IF(E133="","Waiting","Calibrated")</f>
        <v/>
      </c>
      <c r="O133" s="2" t="n"/>
      <c r="P133" s="2" t="inlineStr">
        <is>
          <t>ZM06</t>
        </is>
      </c>
      <c r="Q133" s="2" t="n"/>
      <c r="R133" s="28" t="n"/>
      <c r="S133" s="28" t="n"/>
      <c r="T133" s="32" t="n"/>
    </row>
    <row r="134" ht="30" customFormat="1" customHeight="1" s="5">
      <c r="A134" s="17" t="n">
        <v>132</v>
      </c>
      <c r="B134" s="17" t="inlineStr">
        <is>
          <t>KIPP11</t>
        </is>
      </c>
      <c r="C134" s="2" t="inlineStr">
        <is>
          <t>11LAB91CF102</t>
        </is>
      </c>
      <c r="D134" s="14" t="inlineStr">
        <is>
          <t>FW LP OTC  FITCA</t>
        </is>
      </c>
      <c r="E134" s="37" t="n"/>
      <c r="F134" s="103" t="n">
        <v>-2486.4</v>
      </c>
      <c r="G134" s="103" t="n">
        <v>2486.4</v>
      </c>
      <c r="H134" s="103" t="n">
        <v>0</v>
      </c>
      <c r="I134" s="103" t="n">
        <v>600</v>
      </c>
      <c r="J134" s="4" t="inlineStr">
        <is>
          <t>mBar</t>
        </is>
      </c>
      <c r="K134" s="33" t="inlineStr">
        <is>
          <t>ROSEMOUNT</t>
        </is>
      </c>
      <c r="L134" s="33" t="inlineStr">
        <is>
          <t>3051CD</t>
        </is>
      </c>
      <c r="M134" s="20" t="n">
        <v>9816771</v>
      </c>
      <c r="N134" s="2">
        <f>IF(E134="","Waiting","Calibrated")</f>
        <v/>
      </c>
      <c r="O134" s="2" t="n"/>
      <c r="P134" s="2" t="inlineStr">
        <is>
          <t>ZM06</t>
        </is>
      </c>
      <c r="Q134" s="2" t="n"/>
      <c r="R134" s="28" t="n"/>
      <c r="S134" s="28" t="n"/>
      <c r="T134" s="32" t="n"/>
    </row>
    <row r="135" ht="30" customFormat="1" customHeight="1" s="5">
      <c r="A135" s="17" t="n">
        <v>133</v>
      </c>
      <c r="B135" s="17" t="inlineStr">
        <is>
          <t>KIPP11</t>
        </is>
      </c>
      <c r="C135" s="2" t="inlineStr">
        <is>
          <t>11LAB92CF101</t>
        </is>
      </c>
      <c r="D135" s="14" t="inlineStr">
        <is>
          <t>FW HP OTC  FITCA</t>
        </is>
      </c>
      <c r="E135" s="37" t="n"/>
      <c r="F135" s="103" t="n">
        <v>-2486.4</v>
      </c>
      <c r="G135" s="103" t="n">
        <v>2486.4</v>
      </c>
      <c r="H135" s="103" t="n">
        <v>0</v>
      </c>
      <c r="I135" s="103" t="n">
        <v>250</v>
      </c>
      <c r="J135" s="4" t="inlineStr">
        <is>
          <t>mBar</t>
        </is>
      </c>
      <c r="K135" s="33" t="inlineStr">
        <is>
          <t>ROSEMOUNT</t>
        </is>
      </c>
      <c r="L135" s="33" t="inlineStr">
        <is>
          <t>3051CD</t>
        </is>
      </c>
      <c r="M135" s="20" t="n">
        <v>9816772</v>
      </c>
      <c r="N135" s="2">
        <f>IF(E135="","Waiting","Calibrated")</f>
        <v/>
      </c>
      <c r="O135" s="2" t="n"/>
      <c r="P135" s="2" t="inlineStr">
        <is>
          <t>ZM06</t>
        </is>
      </c>
      <c r="Q135" s="2" t="n"/>
      <c r="R135" s="28" t="n"/>
      <c r="S135" s="28" t="n"/>
      <c r="T135" s="32" t="n"/>
    </row>
    <row r="136" ht="30" customFormat="1" customHeight="1" s="5">
      <c r="A136" s="17" t="n">
        <v>134</v>
      </c>
      <c r="B136" s="17" t="inlineStr">
        <is>
          <t>KIPP11</t>
        </is>
      </c>
      <c r="C136" s="2" t="inlineStr">
        <is>
          <t>11LAB92CF102</t>
        </is>
      </c>
      <c r="D136" s="14" t="inlineStr">
        <is>
          <t>FW HP OTC  FITCA</t>
        </is>
      </c>
      <c r="E136" s="37" t="n"/>
      <c r="F136" s="103" t="n">
        <v>-2486.4</v>
      </c>
      <c r="G136" s="103" t="n">
        <v>2486.4</v>
      </c>
      <c r="H136" s="103" t="n">
        <v>0</v>
      </c>
      <c r="I136" s="103" t="n">
        <v>250</v>
      </c>
      <c r="J136" s="4" t="inlineStr">
        <is>
          <t>mBar</t>
        </is>
      </c>
      <c r="K136" s="33" t="inlineStr">
        <is>
          <t>ROSEMOUNT</t>
        </is>
      </c>
      <c r="L136" s="33" t="inlineStr">
        <is>
          <t>3051CD</t>
        </is>
      </c>
      <c r="M136" s="20" t="n">
        <v>9816773</v>
      </c>
      <c r="N136" s="2">
        <f>IF(E136="","Waiting","Calibrated")</f>
        <v/>
      </c>
      <c r="O136" s="2" t="n"/>
      <c r="P136" s="2" t="inlineStr">
        <is>
          <t>ZM06</t>
        </is>
      </c>
      <c r="Q136" s="2" t="n"/>
      <c r="R136" s="28" t="n"/>
      <c r="S136" s="28" t="n"/>
      <c r="T136" s="32" t="n"/>
    </row>
    <row r="137" ht="30" customFormat="1" customHeight="1" s="5">
      <c r="A137" s="17" t="n">
        <v>135</v>
      </c>
      <c r="B137" s="17" t="inlineStr">
        <is>
          <t>KIPP11</t>
        </is>
      </c>
      <c r="C137" s="2" t="inlineStr">
        <is>
          <t>11LAB96CP001</t>
        </is>
      </c>
      <c r="D137" s="14" t="inlineStr">
        <is>
          <t>HP FW PT</t>
        </is>
      </c>
      <c r="E137" s="37" t="n">
        <v>46114</v>
      </c>
      <c r="F137" s="103" t="n">
        <v>0</v>
      </c>
      <c r="G137" s="103" t="n">
        <v>289.3</v>
      </c>
      <c r="H137" s="103" t="n">
        <v>0</v>
      </c>
      <c r="I137" s="103" t="n">
        <v>300</v>
      </c>
      <c r="J137" s="4" t="inlineStr">
        <is>
          <t>Bar</t>
        </is>
      </c>
      <c r="K137" s="19" t="inlineStr">
        <is>
          <t>ROSEMOUNT</t>
        </is>
      </c>
      <c r="L137" s="19" t="inlineStr">
        <is>
          <t>2051 PT</t>
        </is>
      </c>
      <c r="M137" s="20" t="n">
        <v>210424</v>
      </c>
      <c r="N137" s="2">
        <f>IF(E137="","Waiting","Calibrated")</f>
        <v/>
      </c>
      <c r="O137" s="2" t="n"/>
      <c r="P137" s="2" t="inlineStr">
        <is>
          <t>ZM06</t>
        </is>
      </c>
      <c r="Q137" s="2" t="n"/>
      <c r="R137" s="28" t="n"/>
      <c r="S137" s="28" t="inlineStr">
        <is>
          <t>11LAB96GH101</t>
        </is>
      </c>
      <c r="T137" s="32" t="n"/>
    </row>
    <row r="138" ht="30" customFormat="1" customHeight="1" s="5">
      <c r="A138" s="17" t="n">
        <v>136</v>
      </c>
      <c r="B138" s="17" t="inlineStr">
        <is>
          <t>KIPP11</t>
        </is>
      </c>
      <c r="C138" s="2" t="inlineStr">
        <is>
          <t>11LAE50CF002</t>
        </is>
      </c>
      <c r="D138" s="14" t="inlineStr">
        <is>
          <t>HP DESUPERHEATER SPRAY FT 1</t>
        </is>
      </c>
      <c r="E138" s="37" t="n">
        <v>46113</v>
      </c>
      <c r="F138" s="103" t="n">
        <v>-621.6</v>
      </c>
      <c r="G138" s="103" t="n">
        <v>621.6</v>
      </c>
      <c r="H138" s="103" t="n">
        <v>0</v>
      </c>
      <c r="I138" s="103" t="n">
        <v>524</v>
      </c>
      <c r="J138" s="4" t="inlineStr">
        <is>
          <t>mBar</t>
        </is>
      </c>
      <c r="K138" s="19" t="inlineStr">
        <is>
          <t>ROSEMOUNT</t>
        </is>
      </c>
      <c r="L138" s="19" t="inlineStr">
        <is>
          <t>2051 PT</t>
        </is>
      </c>
      <c r="M138" s="19" t="n">
        <v>214454</v>
      </c>
      <c r="N138" s="2">
        <f>IF(E138="","Waiting","Calibrated")</f>
        <v/>
      </c>
      <c r="O138" s="2" t="n"/>
      <c r="P138" s="2" t="inlineStr">
        <is>
          <t>ZM06</t>
        </is>
      </c>
      <c r="Q138" s="2" t="n"/>
      <c r="R138" s="28" t="n"/>
      <c r="S138" s="28" t="inlineStr">
        <is>
          <t>11LAE50GH101</t>
        </is>
      </c>
      <c r="T138" s="32" t="n"/>
    </row>
    <row r="139" ht="30" customFormat="1" customHeight="1" s="5">
      <c r="A139" s="17" t="n">
        <v>137</v>
      </c>
      <c r="B139" s="17" t="inlineStr">
        <is>
          <t>KIPP11</t>
        </is>
      </c>
      <c r="C139" s="2" t="inlineStr">
        <is>
          <t>11LAE50CF003</t>
        </is>
      </c>
      <c r="D139" s="14" t="inlineStr">
        <is>
          <t>HP DESUPERHEATER SPRAY FT 2</t>
        </is>
      </c>
      <c r="E139" s="37" t="n">
        <v>46113</v>
      </c>
      <c r="F139" s="103" t="n">
        <v>-621.6</v>
      </c>
      <c r="G139" s="103" t="n">
        <v>621.6</v>
      </c>
      <c r="H139" s="103" t="n">
        <v>0</v>
      </c>
      <c r="I139" s="103" t="n">
        <v>524</v>
      </c>
      <c r="J139" s="4" t="inlineStr">
        <is>
          <t>mBar</t>
        </is>
      </c>
      <c r="K139" s="19" t="inlineStr">
        <is>
          <t>ROSEMOUNT</t>
        </is>
      </c>
      <c r="L139" s="19" t="inlineStr">
        <is>
          <t>2051 PT</t>
        </is>
      </c>
      <c r="M139" s="19" t="n">
        <v>214455</v>
      </c>
      <c r="N139" s="2">
        <f>IF(E139="","Waiting","Calibrated")</f>
        <v/>
      </c>
      <c r="O139" s="2" t="n"/>
      <c r="P139" s="2" t="inlineStr">
        <is>
          <t>ZM06</t>
        </is>
      </c>
      <c r="Q139" s="2" t="n"/>
      <c r="R139" s="28" t="n"/>
      <c r="S139" s="28" t="inlineStr">
        <is>
          <t>11LAE50GH101</t>
        </is>
      </c>
      <c r="T139" s="32" t="n"/>
    </row>
    <row r="140" ht="30" customFormat="1" customHeight="1" s="5">
      <c r="A140" s="17" t="n">
        <v>138</v>
      </c>
      <c r="B140" s="17" t="inlineStr">
        <is>
          <t>KIPP11</t>
        </is>
      </c>
      <c r="C140" s="2" t="inlineStr">
        <is>
          <t>11LAF40CF002</t>
        </is>
      </c>
      <c r="D140" s="14" t="inlineStr">
        <is>
          <t>RH DESUPERHEATER SPRAY FT 1</t>
        </is>
      </c>
      <c r="E140" s="37" t="n">
        <v>46113</v>
      </c>
      <c r="F140" s="103" t="n">
        <v>-621.6</v>
      </c>
      <c r="G140" s="103" t="n">
        <v>621.6</v>
      </c>
      <c r="H140" s="103" t="n">
        <v>0</v>
      </c>
      <c r="I140" s="103" t="n">
        <v>322</v>
      </c>
      <c r="J140" s="4" t="inlineStr">
        <is>
          <t>mBar</t>
        </is>
      </c>
      <c r="K140" s="19" t="inlineStr">
        <is>
          <t>ROSEMOUNT</t>
        </is>
      </c>
      <c r="L140" s="19" t="inlineStr">
        <is>
          <t>2051 PT</t>
        </is>
      </c>
      <c r="M140" s="19" t="n">
        <v>214468</v>
      </c>
      <c r="N140" s="2">
        <f>IF(E140="","Waiting","Calibrated")</f>
        <v/>
      </c>
      <c r="O140" s="2" t="n"/>
      <c r="P140" s="2" t="inlineStr">
        <is>
          <t>ZM06</t>
        </is>
      </c>
      <c r="Q140" s="2" t="n"/>
      <c r="R140" s="28" t="n"/>
      <c r="S140" s="28" t="inlineStr">
        <is>
          <t>11LAB46GH101</t>
        </is>
      </c>
      <c r="T140" s="32" t="n"/>
    </row>
    <row r="141" ht="30" customFormat="1" customHeight="1" s="5">
      <c r="A141" s="17" t="n">
        <v>139</v>
      </c>
      <c r="B141" s="17" t="inlineStr">
        <is>
          <t>KIPP11</t>
        </is>
      </c>
      <c r="C141" s="2" t="inlineStr">
        <is>
          <t>11LAF40CF003</t>
        </is>
      </c>
      <c r="D141" s="14" t="inlineStr">
        <is>
          <t>RH DESUPERHEATER SPRAY FT 2</t>
        </is>
      </c>
      <c r="E141" s="37" t="n">
        <v>46113</v>
      </c>
      <c r="F141" s="103" t="n">
        <v>-621.6</v>
      </c>
      <c r="G141" s="103" t="n">
        <v>621.6</v>
      </c>
      <c r="H141" s="103" t="n">
        <v>0</v>
      </c>
      <c r="I141" s="103" t="n">
        <v>322</v>
      </c>
      <c r="J141" s="4" t="inlineStr">
        <is>
          <t>mBar</t>
        </is>
      </c>
      <c r="K141" s="19" t="inlineStr">
        <is>
          <t>ROSEMOUNT</t>
        </is>
      </c>
      <c r="L141" s="19" t="inlineStr">
        <is>
          <t>2051 PT</t>
        </is>
      </c>
      <c r="M141" s="19" t="n">
        <v>214469</v>
      </c>
      <c r="N141" s="2">
        <f>IF(E141="","Waiting","Calibrated")</f>
        <v/>
      </c>
      <c r="O141" s="2" t="n"/>
      <c r="P141" s="2" t="inlineStr">
        <is>
          <t>ZM06</t>
        </is>
      </c>
      <c r="Q141" s="2" t="n"/>
      <c r="R141" s="28" t="n"/>
      <c r="S141" s="28" t="inlineStr">
        <is>
          <t>11LAB46GH101</t>
        </is>
      </c>
      <c r="T141" s="32" t="n"/>
    </row>
    <row r="142" ht="30" customFormat="1" customHeight="1" s="5">
      <c r="A142" s="17" t="n">
        <v>140</v>
      </c>
      <c r="B142" s="17" t="inlineStr">
        <is>
          <t>KIPP11</t>
        </is>
      </c>
      <c r="C142" s="2" t="inlineStr">
        <is>
          <t>11LBA00CP101</t>
        </is>
      </c>
      <c r="D142" s="14" t="inlineStr">
        <is>
          <t>HP STEAM PRESSURE</t>
        </is>
      </c>
      <c r="E142" s="37" t="n">
        <v>46098</v>
      </c>
      <c r="F142" s="103" t="n">
        <v>-1</v>
      </c>
      <c r="G142" s="103" t="n">
        <v>500</v>
      </c>
      <c r="H142" s="103" t="n">
        <v>0</v>
      </c>
      <c r="I142" s="103" t="n">
        <v>151</v>
      </c>
      <c r="J142" s="4" t="inlineStr">
        <is>
          <t>Bar</t>
        </is>
      </c>
      <c r="K142" s="19" t="inlineStr">
        <is>
          <t>YOKOGAWA</t>
        </is>
      </c>
      <c r="L142" s="19" t="inlineStr">
        <is>
          <t>EJA530E</t>
        </is>
      </c>
      <c r="M142" s="19" t="inlineStr">
        <is>
          <t>91S313315</t>
        </is>
      </c>
      <c r="N142" s="2">
        <f>IF(E142="","Waiting","Calibrated")</f>
        <v/>
      </c>
      <c r="O142" s="2" t="n"/>
      <c r="P142" s="2" t="inlineStr">
        <is>
          <t>ZM06</t>
        </is>
      </c>
      <c r="Q142" s="2" t="n"/>
      <c r="R142" s="28" t="n"/>
      <c r="S142" s="28" t="n"/>
      <c r="T142" s="32" t="inlineStr">
        <is>
          <t>Set: 2,2 - Reset: 1,99</t>
        </is>
      </c>
    </row>
    <row r="143" ht="30" customFormat="1" customHeight="1" s="5">
      <c r="A143" s="17" t="n">
        <v>141</v>
      </c>
      <c r="B143" s="17" t="inlineStr">
        <is>
          <t>KIPP11</t>
        </is>
      </c>
      <c r="C143" s="2" t="inlineStr">
        <is>
          <t>11LBA10CF002</t>
        </is>
      </c>
      <c r="D143" s="14" t="inlineStr">
        <is>
          <t>LP STEAM O/L FT 1</t>
        </is>
      </c>
      <c r="E143" s="37" t="n">
        <v>46097</v>
      </c>
      <c r="F143" s="103" t="n">
        <v>-621.6</v>
      </c>
      <c r="G143" s="103" t="n">
        <v>621.6</v>
      </c>
      <c r="H143" s="103" t="n">
        <v>0</v>
      </c>
      <c r="I143" s="103" t="n">
        <v>115</v>
      </c>
      <c r="J143" s="4" t="inlineStr">
        <is>
          <t>mBar</t>
        </is>
      </c>
      <c r="K143" s="19" t="inlineStr">
        <is>
          <t>ROSEMOUNT</t>
        </is>
      </c>
      <c r="L143" s="19" t="inlineStr">
        <is>
          <t>2051 PT</t>
        </is>
      </c>
      <c r="M143" s="19" t="n">
        <v>214474</v>
      </c>
      <c r="N143" s="2">
        <f>IF(E143="","Waiting","Calibrated")</f>
        <v/>
      </c>
      <c r="O143" s="2" t="n"/>
      <c r="P143" s="2" t="inlineStr">
        <is>
          <t>ZM06</t>
        </is>
      </c>
      <c r="Q143" s="2" t="n"/>
      <c r="R143" s="28" t="n"/>
      <c r="S143" s="28" t="inlineStr">
        <is>
          <t>11LAB96GH101</t>
        </is>
      </c>
      <c r="T143" s="32" t="n"/>
    </row>
    <row r="144" ht="30" customFormat="1" customHeight="1" s="5">
      <c r="A144" s="17" t="n">
        <v>142</v>
      </c>
      <c r="B144" s="17" t="inlineStr">
        <is>
          <t>KIPP11</t>
        </is>
      </c>
      <c r="C144" s="2" t="inlineStr">
        <is>
          <t>11LBA10CF003</t>
        </is>
      </c>
      <c r="D144" s="14" t="inlineStr">
        <is>
          <t>LP STEAM O/L FT 2</t>
        </is>
      </c>
      <c r="E144" s="37" t="n">
        <v>46097</v>
      </c>
      <c r="F144" s="103" t="n">
        <v>-621.6</v>
      </c>
      <c r="G144" s="103" t="n">
        <v>621.6</v>
      </c>
      <c r="H144" s="103" t="n">
        <v>0</v>
      </c>
      <c r="I144" s="103" t="n">
        <v>115</v>
      </c>
      <c r="J144" s="4" t="inlineStr">
        <is>
          <t>mBar</t>
        </is>
      </c>
      <c r="K144" s="19" t="inlineStr">
        <is>
          <t>ROSEMOUNT</t>
        </is>
      </c>
      <c r="L144" s="19" t="inlineStr">
        <is>
          <t>2051 PT</t>
        </is>
      </c>
      <c r="M144" s="19" t="n">
        <v>214475</v>
      </c>
      <c r="N144" s="2">
        <f>IF(E144="","Waiting","Calibrated")</f>
        <v/>
      </c>
      <c r="O144" s="2" t="n"/>
      <c r="P144" s="2" t="inlineStr">
        <is>
          <t>ZM06</t>
        </is>
      </c>
      <c r="Q144" s="2" t="n"/>
      <c r="R144" s="28" t="n"/>
      <c r="S144" s="28" t="inlineStr">
        <is>
          <t>11LAB96GH101</t>
        </is>
      </c>
      <c r="T144" s="32" t="n"/>
    </row>
    <row r="145" ht="30" customFormat="1" customHeight="1" s="5">
      <c r="A145" s="17" t="n">
        <v>143</v>
      </c>
      <c r="B145" s="17" t="inlineStr">
        <is>
          <t>KIPP11</t>
        </is>
      </c>
      <c r="C145" s="2" t="inlineStr">
        <is>
          <t>11LBA10CP001</t>
        </is>
      </c>
      <c r="D145" s="14" t="inlineStr">
        <is>
          <t>LP STEAM PRESSURE</t>
        </is>
      </c>
      <c r="E145" s="37" t="n">
        <v>46105</v>
      </c>
      <c r="F145" s="103" t="n">
        <v>-1</v>
      </c>
      <c r="G145" s="103" t="n">
        <v>55.16</v>
      </c>
      <c r="H145" s="103" t="n">
        <v>0</v>
      </c>
      <c r="I145" s="103" t="n">
        <v>15</v>
      </c>
      <c r="J145" s="4" t="inlineStr">
        <is>
          <t>Bar</t>
        </is>
      </c>
      <c r="K145" s="19" t="inlineStr">
        <is>
          <t>ROSEMOUNT</t>
        </is>
      </c>
      <c r="L145" s="19" t="inlineStr">
        <is>
          <t>2051 PT</t>
        </is>
      </c>
      <c r="M145" s="20" t="n">
        <v>210437</v>
      </c>
      <c r="N145" s="2">
        <f>IF(E145="","Waiting","Calibrated")</f>
        <v/>
      </c>
      <c r="O145" s="2" t="n"/>
      <c r="P145" s="2" t="inlineStr">
        <is>
          <t>ZM06</t>
        </is>
      </c>
      <c r="Q145" s="2" t="n"/>
      <c r="R145" s="28" t="n"/>
      <c r="S145" s="28" t="inlineStr">
        <is>
          <t>11LAB96GH101</t>
        </is>
      </c>
      <c r="T145" s="32" t="n"/>
    </row>
    <row r="146" ht="30" customFormat="1" customHeight="1" s="5">
      <c r="A146" s="17" t="n">
        <v>144</v>
      </c>
      <c r="B146" s="17" t="inlineStr">
        <is>
          <t>KIPP11</t>
        </is>
      </c>
      <c r="C146" s="2" t="inlineStr">
        <is>
          <t>11LBA20CP101</t>
        </is>
      </c>
      <c r="D146" s="14" t="inlineStr">
        <is>
          <t>HP BYPASS VALVE OUTLET PRESSURE A</t>
        </is>
      </c>
      <c r="E146" s="37" t="n">
        <v>46098</v>
      </c>
      <c r="F146" s="103" t="n">
        <v>-1</v>
      </c>
      <c r="G146" s="103" t="n">
        <v>100</v>
      </c>
      <c r="H146" s="103" t="n">
        <v>0</v>
      </c>
      <c r="I146" s="103" t="n">
        <v>43</v>
      </c>
      <c r="J146" s="4" t="inlineStr">
        <is>
          <t>Bar</t>
        </is>
      </c>
      <c r="K146" s="19" t="inlineStr">
        <is>
          <t>YOKOGAWA</t>
        </is>
      </c>
      <c r="L146" s="19" t="inlineStr">
        <is>
          <t>EJA530E</t>
        </is>
      </c>
      <c r="M146" s="19" t="inlineStr">
        <is>
          <t>91S313282</t>
        </is>
      </c>
      <c r="N146" s="2">
        <f>IF(E146="","Waiting","Calibrated")</f>
        <v/>
      </c>
      <c r="O146" s="2" t="n"/>
      <c r="P146" s="2" t="inlineStr">
        <is>
          <t>ZM06</t>
        </is>
      </c>
      <c r="Q146" s="2" t="n"/>
      <c r="R146" s="28" t="n"/>
      <c r="S146" s="28" t="n"/>
      <c r="T146" s="32" t="n"/>
    </row>
    <row r="147" ht="30" customFormat="1" customHeight="1" s="5">
      <c r="A147" s="17" t="n">
        <v>145</v>
      </c>
      <c r="B147" s="17" t="inlineStr">
        <is>
          <t>KIPP11</t>
        </is>
      </c>
      <c r="C147" s="2" t="inlineStr">
        <is>
          <t>11LBA20CP102</t>
        </is>
      </c>
      <c r="D147" s="14" t="inlineStr">
        <is>
          <t>HP BYPASS VALVE OUTLET PRESSURE B</t>
        </is>
      </c>
      <c r="E147" s="37" t="n">
        <v>46098</v>
      </c>
      <c r="F147" s="103" t="n">
        <v>-1</v>
      </c>
      <c r="G147" s="103" t="n">
        <v>100</v>
      </c>
      <c r="H147" s="103" t="n">
        <v>0</v>
      </c>
      <c r="I147" s="103" t="n">
        <v>43</v>
      </c>
      <c r="J147" s="4" t="inlineStr">
        <is>
          <t>Bar</t>
        </is>
      </c>
      <c r="K147" s="19" t="inlineStr">
        <is>
          <t>YOKOGAWA</t>
        </is>
      </c>
      <c r="L147" s="19" t="inlineStr">
        <is>
          <t>EJA530E</t>
        </is>
      </c>
      <c r="M147" s="19" t="inlineStr">
        <is>
          <t>91S313283</t>
        </is>
      </c>
      <c r="N147" s="2">
        <f>IF(E147="","Waiting","Calibrated")</f>
        <v/>
      </c>
      <c r="O147" s="2" t="n"/>
      <c r="P147" s="2" t="inlineStr">
        <is>
          <t>ZM06</t>
        </is>
      </c>
      <c r="Q147" s="2" t="n"/>
      <c r="R147" s="28" t="n"/>
      <c r="S147" s="28" t="n"/>
      <c r="T147" s="32" t="n"/>
    </row>
    <row r="148" ht="30" customFormat="1" customHeight="1" s="5">
      <c r="A148" s="17" t="n">
        <v>146</v>
      </c>
      <c r="B148" s="17" t="inlineStr">
        <is>
          <t>KIPP11</t>
        </is>
      </c>
      <c r="C148" s="2" t="inlineStr">
        <is>
          <t>11LBA30CF002</t>
        </is>
      </c>
      <c r="D148" s="14" t="inlineStr">
        <is>
          <t>IP STEAM O/L FT 1</t>
        </is>
      </c>
      <c r="E148" s="37" t="n"/>
      <c r="F148" s="103" t="n">
        <v>-621.6</v>
      </c>
      <c r="G148" s="103" t="n">
        <v>621.6</v>
      </c>
      <c r="H148" s="103" t="n">
        <v>0</v>
      </c>
      <c r="I148" s="103" t="n">
        <v>322</v>
      </c>
      <c r="J148" s="4" t="inlineStr">
        <is>
          <t>mBar</t>
        </is>
      </c>
      <c r="K148" s="19" t="inlineStr">
        <is>
          <t>ROSEMOUNT</t>
        </is>
      </c>
      <c r="L148" s="19" t="inlineStr">
        <is>
          <t>2051 PT</t>
        </is>
      </c>
      <c r="M148" s="19" t="n">
        <v>214470</v>
      </c>
      <c r="N148" s="2">
        <f>IF(E148="","Waiting","Calibrated")</f>
        <v/>
      </c>
      <c r="O148" s="2" t="n"/>
      <c r="P148" s="2" t="inlineStr">
        <is>
          <t>ZM06</t>
        </is>
      </c>
      <c r="Q148" s="2" t="n"/>
      <c r="R148" s="28" t="n"/>
      <c r="S148" s="28" t="inlineStr">
        <is>
          <t>11LBA30GH101</t>
        </is>
      </c>
      <c r="T148" s="32" t="n"/>
    </row>
    <row r="149" ht="30" customFormat="1" customHeight="1" s="5">
      <c r="A149" s="17" t="n">
        <v>147</v>
      </c>
      <c r="B149" s="17" t="inlineStr">
        <is>
          <t>KIPP11</t>
        </is>
      </c>
      <c r="C149" s="2" t="inlineStr">
        <is>
          <t>11LBA30CF003</t>
        </is>
      </c>
      <c r="D149" s="14" t="inlineStr">
        <is>
          <t>IP STEAM O/L FT 2</t>
        </is>
      </c>
      <c r="E149" s="37" t="n"/>
      <c r="F149" s="103" t="n">
        <v>-621.6</v>
      </c>
      <c r="G149" s="103" t="n">
        <v>621.6</v>
      </c>
      <c r="H149" s="103" t="n">
        <v>0</v>
      </c>
      <c r="I149" s="103" t="n">
        <v>322</v>
      </c>
      <c r="J149" s="4" t="inlineStr">
        <is>
          <t>mBar</t>
        </is>
      </c>
      <c r="K149" s="19" t="inlineStr">
        <is>
          <t>ROSEMOUNT</t>
        </is>
      </c>
      <c r="L149" s="19" t="inlineStr">
        <is>
          <t>2051 PT</t>
        </is>
      </c>
      <c r="M149" s="19" t="n">
        <v>214471</v>
      </c>
      <c r="N149" s="2">
        <f>IF(E149="","Waiting","Calibrated")</f>
        <v/>
      </c>
      <c r="O149" s="2" t="n"/>
      <c r="P149" s="2" t="inlineStr">
        <is>
          <t>ZM06</t>
        </is>
      </c>
      <c r="Q149" s="2" t="n"/>
      <c r="R149" s="28" t="n"/>
      <c r="S149" s="28" t="inlineStr">
        <is>
          <t>11LBA30GH101</t>
        </is>
      </c>
      <c r="T149" s="32" t="n"/>
    </row>
    <row r="150" ht="30" customFormat="1" customHeight="1" s="5">
      <c r="A150" s="17" t="n">
        <v>148</v>
      </c>
      <c r="B150" s="17" t="inlineStr">
        <is>
          <t>KIPP11</t>
        </is>
      </c>
      <c r="C150" s="2" t="inlineStr">
        <is>
          <t>11LBA30CP001</t>
        </is>
      </c>
      <c r="D150" s="14" t="inlineStr">
        <is>
          <t>IP STEAM O/L PT</t>
        </is>
      </c>
      <c r="E150" s="37" t="n"/>
      <c r="F150" s="103" t="n">
        <v>-1.01</v>
      </c>
      <c r="G150" s="103" t="n">
        <v>275.79</v>
      </c>
      <c r="H150" s="103" t="n">
        <v>0</v>
      </c>
      <c r="I150" s="103" t="n">
        <v>60</v>
      </c>
      <c r="J150" s="4" t="inlineStr">
        <is>
          <t>Bar</t>
        </is>
      </c>
      <c r="K150" s="19" t="inlineStr">
        <is>
          <t>ROSEMOUNT</t>
        </is>
      </c>
      <c r="L150" s="19" t="inlineStr">
        <is>
          <t>2051 PT</t>
        </is>
      </c>
      <c r="M150" s="20" t="n">
        <v>210431</v>
      </c>
      <c r="N150" s="2">
        <f>IF(E150="","Waiting","Calibrated")</f>
        <v/>
      </c>
      <c r="O150" s="2" t="n"/>
      <c r="P150" s="2" t="n"/>
      <c r="Q150" s="2" t="n"/>
      <c r="R150" s="28" t="n"/>
      <c r="S150" s="28" t="inlineStr">
        <is>
          <t>11LBA30GH101</t>
        </is>
      </c>
      <c r="T150" s="32" t="n"/>
    </row>
    <row r="151" ht="30" customFormat="1" customHeight="1" s="5">
      <c r="A151" s="17" t="n">
        <v>149</v>
      </c>
      <c r="B151" s="17" t="inlineStr">
        <is>
          <t>KIPP11</t>
        </is>
      </c>
      <c r="C151" s="2" t="inlineStr">
        <is>
          <t>11LBA31CP101</t>
        </is>
      </c>
      <c r="D151" s="14" t="inlineStr">
        <is>
          <t>LP STEAM PT</t>
        </is>
      </c>
      <c r="E151" s="37" t="n">
        <v>46105</v>
      </c>
      <c r="F151" s="103" t="n">
        <v>-1</v>
      </c>
      <c r="G151" s="103" t="n">
        <v>20</v>
      </c>
      <c r="H151" s="103" t="n">
        <v>0</v>
      </c>
      <c r="I151" s="103" t="n">
        <v>10</v>
      </c>
      <c r="J151" s="4" t="inlineStr">
        <is>
          <t>Bar</t>
        </is>
      </c>
      <c r="K151" s="19" t="inlineStr">
        <is>
          <t>YOKOGAWA</t>
        </is>
      </c>
      <c r="L151" s="19" t="inlineStr">
        <is>
          <t>EJA530E</t>
        </is>
      </c>
      <c r="M151" s="19" t="inlineStr">
        <is>
          <t>91S313226</t>
        </is>
      </c>
      <c r="N151" s="2">
        <f>IF(E151="","Waiting","Calibrated")</f>
        <v/>
      </c>
      <c r="O151" s="2" t="n"/>
      <c r="P151" s="2" t="n"/>
      <c r="Q151" s="2" t="n"/>
      <c r="R151" s="28" t="n"/>
      <c r="S151" s="28" t="n"/>
      <c r="T151" s="32" t="n"/>
    </row>
    <row r="152" ht="30" customFormat="1" customHeight="1" s="5">
      <c r="A152" s="17" t="n">
        <v>150</v>
      </c>
      <c r="B152" s="17" t="inlineStr">
        <is>
          <t>KIPP11</t>
        </is>
      </c>
      <c r="C152" s="2" t="inlineStr">
        <is>
          <t>11LBA40CP101</t>
        </is>
      </c>
      <c r="D152" s="14" t="inlineStr">
        <is>
          <t>LP STEAM BYPASS VALVE OUTLET PT</t>
        </is>
      </c>
      <c r="E152" s="37" t="n">
        <v>46104</v>
      </c>
      <c r="F152" s="103" t="n">
        <v>-1</v>
      </c>
      <c r="G152" s="103" t="n">
        <v>20</v>
      </c>
      <c r="H152" s="103" t="n">
        <v>0</v>
      </c>
      <c r="I152" s="103" t="n">
        <v>4</v>
      </c>
      <c r="J152" s="4" t="inlineStr">
        <is>
          <t>Bar</t>
        </is>
      </c>
      <c r="K152" s="19" t="inlineStr">
        <is>
          <t>YOKOGAWA</t>
        </is>
      </c>
      <c r="L152" s="19" t="inlineStr">
        <is>
          <t>EJA530E</t>
        </is>
      </c>
      <c r="M152" s="19" t="inlineStr">
        <is>
          <t>91S313227</t>
        </is>
      </c>
      <c r="N152" s="2">
        <f>IF(E152="","Waiting","Calibrated")</f>
        <v/>
      </c>
      <c r="O152" s="2" t="n"/>
      <c r="P152" s="2" t="n"/>
      <c r="Q152" s="2" t="n"/>
      <c r="R152" s="28" t="n"/>
      <c r="S152" s="28" t="n"/>
      <c r="T152" s="32" t="n"/>
    </row>
    <row r="153" ht="30" customFormat="1" customHeight="1" s="5">
      <c r="A153" s="17" t="n">
        <v>151</v>
      </c>
      <c r="B153" s="17" t="inlineStr">
        <is>
          <t>KIPP11</t>
        </is>
      </c>
      <c r="C153" s="2" t="inlineStr">
        <is>
          <t>11LBA40CP102</t>
        </is>
      </c>
      <c r="D153" s="14" t="inlineStr">
        <is>
          <t>LP STEAM BYPASS VALVE OUTLET PT</t>
        </is>
      </c>
      <c r="E153" s="37" t="n">
        <v>46104</v>
      </c>
      <c r="F153" s="103" t="n">
        <v>-1</v>
      </c>
      <c r="G153" s="103" t="n">
        <v>20</v>
      </c>
      <c r="H153" s="103" t="n">
        <v>0</v>
      </c>
      <c r="I153" s="103" t="n">
        <v>4</v>
      </c>
      <c r="J153" s="4" t="inlineStr">
        <is>
          <t>Bar</t>
        </is>
      </c>
      <c r="K153" s="19" t="inlineStr">
        <is>
          <t>YOKOGAWA</t>
        </is>
      </c>
      <c r="L153" s="19" t="inlineStr">
        <is>
          <t>EJA530E</t>
        </is>
      </c>
      <c r="M153" s="19" t="inlineStr">
        <is>
          <t>91S313228</t>
        </is>
      </c>
      <c r="N153" s="2">
        <f>IF(E153="","Waiting","Calibrated")</f>
        <v/>
      </c>
      <c r="O153" s="2" t="n"/>
      <c r="P153" s="2" t="n"/>
      <c r="Q153" s="2" t="n"/>
      <c r="R153" s="28" t="n"/>
      <c r="S153" s="28" t="n"/>
      <c r="T153" s="32" t="n"/>
    </row>
    <row r="154" ht="30" customFormat="1" customHeight="1" s="5">
      <c r="A154" s="17" t="n">
        <v>152</v>
      </c>
      <c r="B154" s="17" t="inlineStr">
        <is>
          <t>KIPP11</t>
        </is>
      </c>
      <c r="C154" s="2" t="inlineStr">
        <is>
          <t>11LBA50CF002</t>
        </is>
      </c>
      <c r="D154" s="14" t="inlineStr">
        <is>
          <t>HP STEAM O/L FT 1</t>
        </is>
      </c>
      <c r="E154" s="37" t="n">
        <v>46114</v>
      </c>
      <c r="F154" s="103" t="n">
        <v>-2486</v>
      </c>
      <c r="G154" s="103" t="n">
        <v>2486</v>
      </c>
      <c r="H154" s="103" t="n">
        <v>0</v>
      </c>
      <c r="I154" s="103" t="n">
        <v>1600</v>
      </c>
      <c r="J154" s="4" t="inlineStr">
        <is>
          <t>mBar</t>
        </is>
      </c>
      <c r="K154" s="19" t="inlineStr">
        <is>
          <t>ROSEMOUNT</t>
        </is>
      </c>
      <c r="L154" s="19" t="inlineStr">
        <is>
          <t>2051 PT</t>
        </is>
      </c>
      <c r="M154" s="19" t="n">
        <v>214456</v>
      </c>
      <c r="N154" s="2">
        <f>IF(E154="","Waiting","Calibrated")</f>
        <v/>
      </c>
      <c r="O154" s="2" t="n"/>
      <c r="P154" s="2" t="inlineStr">
        <is>
          <t>ZM06</t>
        </is>
      </c>
      <c r="Q154" s="2" t="n"/>
      <c r="R154" s="28" t="n"/>
      <c r="S154" s="28" t="inlineStr">
        <is>
          <t>11LBC00GH101</t>
        </is>
      </c>
      <c r="T154" s="32" t="n"/>
    </row>
    <row r="155" ht="30" customFormat="1" customHeight="1" s="5">
      <c r="A155" s="17" t="n">
        <v>153</v>
      </c>
      <c r="B155" s="17" t="inlineStr">
        <is>
          <t>KIPP11</t>
        </is>
      </c>
      <c r="C155" s="2" t="inlineStr">
        <is>
          <t>11LBA50CF003</t>
        </is>
      </c>
      <c r="D155" s="14" t="inlineStr">
        <is>
          <t>HP STEAM O/L FT 2</t>
        </is>
      </c>
      <c r="E155" s="37" t="n">
        <v>46114</v>
      </c>
      <c r="F155" s="103" t="n">
        <v>-2486</v>
      </c>
      <c r="G155" s="103" t="n">
        <v>2486</v>
      </c>
      <c r="H155" s="103" t="n">
        <v>0</v>
      </c>
      <c r="I155" s="103" t="n">
        <v>1600</v>
      </c>
      <c r="J155" s="4" t="inlineStr">
        <is>
          <t>mBar</t>
        </is>
      </c>
      <c r="K155" s="19" t="inlineStr">
        <is>
          <t>ROSEMOUNT</t>
        </is>
      </c>
      <c r="L155" s="19" t="inlineStr">
        <is>
          <t>2051 PT</t>
        </is>
      </c>
      <c r="M155" s="19" t="n">
        <v>214457</v>
      </c>
      <c r="N155" s="2">
        <f>IF(E155="","Waiting","Calibrated")</f>
        <v/>
      </c>
      <c r="O155" s="2" t="n"/>
      <c r="P155" s="2" t="inlineStr">
        <is>
          <t>ZM06</t>
        </is>
      </c>
      <c r="Q155" s="2" t="n"/>
      <c r="R155" s="28" t="n"/>
      <c r="S155" s="28" t="inlineStr">
        <is>
          <t>11LBC00GH101</t>
        </is>
      </c>
      <c r="T155" s="32" t="n"/>
    </row>
    <row r="156" ht="30" customFormat="1" customHeight="1" s="5">
      <c r="A156" s="17" t="n">
        <v>154</v>
      </c>
      <c r="B156" s="17" t="inlineStr">
        <is>
          <t>KIPP11</t>
        </is>
      </c>
      <c r="C156" s="2" t="inlineStr">
        <is>
          <t>11LBA50CP001</t>
        </is>
      </c>
      <c r="D156" s="14" t="inlineStr">
        <is>
          <t>HP STEAM PT</t>
        </is>
      </c>
      <c r="E156" s="37" t="n">
        <v>46114</v>
      </c>
      <c r="F156" s="103" t="n">
        <v>0</v>
      </c>
      <c r="G156" s="103" t="n">
        <v>689.5</v>
      </c>
      <c r="H156" s="103" t="n">
        <v>0</v>
      </c>
      <c r="I156" s="103" t="n">
        <v>200</v>
      </c>
      <c r="J156" s="4" t="inlineStr">
        <is>
          <t>Bar</t>
        </is>
      </c>
      <c r="K156" s="19" t="inlineStr">
        <is>
          <t>ROSEMOUNT</t>
        </is>
      </c>
      <c r="L156" s="19" t="inlineStr">
        <is>
          <t>2051 PT</t>
        </is>
      </c>
      <c r="M156" s="20" t="n">
        <v>210425</v>
      </c>
      <c r="N156" s="2">
        <f>IF(E156="","Waiting","Calibrated")</f>
        <v/>
      </c>
      <c r="O156" s="2" t="n"/>
      <c r="P156" s="2" t="inlineStr">
        <is>
          <t>ZM06</t>
        </is>
      </c>
      <c r="Q156" s="2" t="n"/>
      <c r="R156" s="28" t="n"/>
      <c r="S156" s="28" t="n"/>
      <c r="T156" s="32" t="n"/>
    </row>
    <row r="157" ht="30" customFormat="1" customHeight="1" s="5">
      <c r="A157" s="17" t="n">
        <v>155</v>
      </c>
      <c r="B157" s="17" t="inlineStr">
        <is>
          <t>KIPP11</t>
        </is>
      </c>
      <c r="C157" s="2" t="inlineStr">
        <is>
          <t>11LBB00CP101</t>
        </is>
      </c>
      <c r="D157" s="14" t="inlineStr">
        <is>
          <t>HOT REHEAT STEAM PT</t>
        </is>
      </c>
      <c r="E157" s="37" t="n">
        <v>46098</v>
      </c>
      <c r="F157" s="103" t="n">
        <v>-1</v>
      </c>
      <c r="G157" s="103" t="n">
        <v>100</v>
      </c>
      <c r="H157" s="103" t="n">
        <v>0</v>
      </c>
      <c r="I157" s="103" t="n">
        <v>50</v>
      </c>
      <c r="J157" s="4" t="inlineStr">
        <is>
          <t>Bar</t>
        </is>
      </c>
      <c r="K157" s="19" t="inlineStr">
        <is>
          <t>YOKOGAWA</t>
        </is>
      </c>
      <c r="L157" s="19" t="inlineStr">
        <is>
          <t>EJA530E</t>
        </is>
      </c>
      <c r="M157" s="19" t="inlineStr">
        <is>
          <t>91S313213</t>
        </is>
      </c>
      <c r="N157" s="2">
        <f>IF(E157="","Waiting","Calibrated")</f>
        <v/>
      </c>
      <c r="O157" s="2" t="n"/>
      <c r="P157" s="2" t="n"/>
      <c r="Q157" s="2" t="n"/>
      <c r="R157" s="28" t="n"/>
      <c r="S157" s="28" t="n"/>
      <c r="T157" s="32" t="n"/>
    </row>
    <row r="158" ht="30" customFormat="1" customHeight="1" s="5">
      <c r="A158" s="17" t="n">
        <v>156</v>
      </c>
      <c r="B158" s="17" t="inlineStr">
        <is>
          <t>KIPP11</t>
        </is>
      </c>
      <c r="C158" s="2" t="inlineStr">
        <is>
          <t>11LBB20CP101</t>
        </is>
      </c>
      <c r="D158" s="14" t="inlineStr">
        <is>
          <t>HOT REHEAT STEAM BYPASS VALVE OUTLET PT</t>
        </is>
      </c>
      <c r="E158" s="37" t="n">
        <v>46104</v>
      </c>
      <c r="F158" s="103" t="n">
        <v>-1</v>
      </c>
      <c r="G158" s="103" t="n">
        <v>20</v>
      </c>
      <c r="H158" s="103" t="n">
        <v>0</v>
      </c>
      <c r="I158" s="103" t="n">
        <v>13</v>
      </c>
      <c r="J158" s="4" t="inlineStr">
        <is>
          <t>Bar</t>
        </is>
      </c>
      <c r="K158" s="19" t="inlineStr">
        <is>
          <t>YOKOGAWA</t>
        </is>
      </c>
      <c r="L158" s="19" t="inlineStr">
        <is>
          <t>EJA530E</t>
        </is>
      </c>
      <c r="M158" s="19" t="inlineStr">
        <is>
          <t>91S313222</t>
        </is>
      </c>
      <c r="N158" s="2">
        <f>IF(E158="","Waiting","Calibrated")</f>
        <v/>
      </c>
      <c r="O158" s="2" t="n"/>
      <c r="P158" s="2" t="n"/>
      <c r="Q158" s="2" t="n"/>
      <c r="R158" s="28" t="n"/>
      <c r="S158" s="28" t="n"/>
      <c r="T158" s="32" t="n"/>
    </row>
    <row r="159" ht="30" customFormat="1" customHeight="1" s="5">
      <c r="A159" s="17" t="n">
        <v>157</v>
      </c>
      <c r="B159" s="17" t="inlineStr">
        <is>
          <t>KIPP11</t>
        </is>
      </c>
      <c r="C159" s="2" t="inlineStr">
        <is>
          <t>11LBB20CP102</t>
        </is>
      </c>
      <c r="D159" s="14" t="inlineStr">
        <is>
          <t>HOT REHEAT STEAM BYPASS VALVE OUTLET PT</t>
        </is>
      </c>
      <c r="E159" s="37" t="n">
        <v>46104</v>
      </c>
      <c r="F159" s="103" t="n">
        <v>-1</v>
      </c>
      <c r="G159" s="103" t="n">
        <v>20</v>
      </c>
      <c r="H159" s="103" t="n">
        <v>0</v>
      </c>
      <c r="I159" s="103" t="n">
        <v>13</v>
      </c>
      <c r="J159" s="4" t="inlineStr">
        <is>
          <t>Bar</t>
        </is>
      </c>
      <c r="K159" s="19" t="inlineStr">
        <is>
          <t>YOKOGAWA</t>
        </is>
      </c>
      <c r="L159" s="19" t="inlineStr">
        <is>
          <t>EJA530E</t>
        </is>
      </c>
      <c r="M159" s="19" t="inlineStr">
        <is>
          <t>91S313223</t>
        </is>
      </c>
      <c r="N159" s="2">
        <f>IF(E159="","Waiting","Calibrated")</f>
        <v/>
      </c>
      <c r="O159" s="2" t="n"/>
      <c r="P159" s="2" t="inlineStr">
        <is>
          <t>ZM06</t>
        </is>
      </c>
      <c r="Q159" s="2" t="n"/>
      <c r="R159" s="28" t="n"/>
      <c r="S159" s="28" t="n"/>
      <c r="T159" s="32" t="n"/>
    </row>
    <row r="160" ht="30" customFormat="1" customHeight="1" s="5">
      <c r="A160" s="17" t="n">
        <v>158</v>
      </c>
      <c r="B160" s="17" t="inlineStr">
        <is>
          <t>KIPP11</t>
        </is>
      </c>
      <c r="C160" s="2" t="inlineStr">
        <is>
          <t>11LBB40CP001</t>
        </is>
      </c>
      <c r="D160" s="14" t="inlineStr">
        <is>
          <t>HOT REHEAT STEAM PT</t>
        </is>
      </c>
      <c r="E160" s="37" t="n">
        <v>46114</v>
      </c>
      <c r="F160" s="103" t="n">
        <v>-1.01</v>
      </c>
      <c r="G160" s="103" t="n">
        <v>275.79</v>
      </c>
      <c r="H160" s="103" t="n">
        <v>0</v>
      </c>
      <c r="I160" s="103" t="n">
        <v>50</v>
      </c>
      <c r="J160" s="4" t="inlineStr">
        <is>
          <t>Bar</t>
        </is>
      </c>
      <c r="K160" s="19" t="inlineStr">
        <is>
          <t>ROSEMOUNT</t>
        </is>
      </c>
      <c r="L160" s="19" t="inlineStr">
        <is>
          <t>2051 PT</t>
        </is>
      </c>
      <c r="M160" s="20" t="n">
        <v>210432</v>
      </c>
      <c r="N160" s="2">
        <f>IF(E160="","Waiting","Calibrated")</f>
        <v/>
      </c>
      <c r="O160" s="2" t="n"/>
      <c r="P160" s="2" t="inlineStr">
        <is>
          <t>ZM06</t>
        </is>
      </c>
      <c r="Q160" s="2" t="n"/>
      <c r="R160" s="28" t="n"/>
      <c r="S160" s="28" t="inlineStr">
        <is>
          <t>11LBA30GH101</t>
        </is>
      </c>
      <c r="T160" s="32" t="n"/>
    </row>
    <row r="161" ht="30" customFormat="1" customHeight="1" s="5">
      <c r="A161" s="17" t="n">
        <v>159</v>
      </c>
      <c r="B161" s="17" t="inlineStr">
        <is>
          <t>KIPP11</t>
        </is>
      </c>
      <c r="C161" s="2" t="inlineStr">
        <is>
          <t>11LBC00CF101</t>
        </is>
      </c>
      <c r="D161" s="14" t="inlineStr">
        <is>
          <t>COLD REHEAT STEAM FLOW A</t>
        </is>
      </c>
      <c r="E161" s="37" t="n">
        <v>46114</v>
      </c>
      <c r="F161" s="103" t="n">
        <v>-10197.2</v>
      </c>
      <c r="G161" s="103" t="n">
        <v>10197.2</v>
      </c>
      <c r="H161" s="103" t="n">
        <v>0</v>
      </c>
      <c r="I161" s="103" t="n">
        <v>4756.2</v>
      </c>
      <c r="J161" s="4" t="inlineStr">
        <is>
          <t>mmH2O</t>
        </is>
      </c>
      <c r="K161" s="19" t="inlineStr">
        <is>
          <t>YOKOGAWA</t>
        </is>
      </c>
      <c r="L161" s="19" t="inlineStr">
        <is>
          <t>EJA110E</t>
        </is>
      </c>
      <c r="M161" s="19" t="inlineStr">
        <is>
          <t>91S313071</t>
        </is>
      </c>
      <c r="N161" s="2">
        <f>IF(E161="","Waiting","Calibrated")</f>
        <v/>
      </c>
      <c r="O161" s="2" t="n"/>
      <c r="P161" s="2" t="inlineStr">
        <is>
          <t>ZM06</t>
        </is>
      </c>
      <c r="Q161" s="2" t="n"/>
      <c r="R161" s="28" t="n"/>
      <c r="S161" s="28" t="inlineStr">
        <is>
          <t>11LBC00GH101</t>
        </is>
      </c>
      <c r="T161" s="32" t="n"/>
    </row>
    <row r="162" ht="30" customFormat="1" customHeight="1" s="5">
      <c r="A162" s="17" t="n">
        <v>160</v>
      </c>
      <c r="B162" s="17" t="inlineStr">
        <is>
          <t>KIPP11</t>
        </is>
      </c>
      <c r="C162" s="2" t="inlineStr">
        <is>
          <t>11LBC00CF102</t>
        </is>
      </c>
      <c r="D162" s="14" t="inlineStr">
        <is>
          <t>COLD REHEAT STEAM FLOW B</t>
        </is>
      </c>
      <c r="E162" s="37" t="n">
        <v>46114</v>
      </c>
      <c r="F162" s="103" t="n">
        <v>-10197.2</v>
      </c>
      <c r="G162" s="103" t="n">
        <v>10197.2</v>
      </c>
      <c r="H162" s="103" t="n">
        <v>0</v>
      </c>
      <c r="I162" s="103" t="n">
        <v>4756.2</v>
      </c>
      <c r="J162" s="4" t="inlineStr">
        <is>
          <t>mmH2O</t>
        </is>
      </c>
      <c r="K162" s="19" t="inlineStr">
        <is>
          <t>YOKOGAWA</t>
        </is>
      </c>
      <c r="L162" s="19" t="inlineStr">
        <is>
          <t>EJA110E</t>
        </is>
      </c>
      <c r="M162" s="19" t="inlineStr">
        <is>
          <t>91S313072</t>
        </is>
      </c>
      <c r="N162" s="2">
        <f>IF(E162="","Waiting","Calibrated")</f>
        <v/>
      </c>
      <c r="O162" s="2" t="n"/>
      <c r="P162" s="2" t="inlineStr">
        <is>
          <t>ZM06</t>
        </is>
      </c>
      <c r="Q162" s="2" t="n"/>
      <c r="R162" s="28" t="n"/>
      <c r="S162" s="28" t="inlineStr">
        <is>
          <t>11LBC00GH101</t>
        </is>
      </c>
      <c r="T162" s="32" t="n"/>
    </row>
    <row r="163" ht="30" customFormat="1" customHeight="1" s="5">
      <c r="A163" s="17" t="n">
        <v>161</v>
      </c>
      <c r="B163" s="17" t="inlineStr">
        <is>
          <t>KIPP11</t>
        </is>
      </c>
      <c r="C163" s="2" t="inlineStr">
        <is>
          <t>11LBC00CP101</t>
        </is>
      </c>
      <c r="D163" s="14" t="inlineStr">
        <is>
          <t>COLD REHEAT STEAM PRESSURE</t>
        </is>
      </c>
      <c r="E163" s="37" t="n">
        <v>46114</v>
      </c>
      <c r="F163" s="103" t="n">
        <v>-1</v>
      </c>
      <c r="G163" s="103" t="n">
        <v>100</v>
      </c>
      <c r="H163" s="103" t="n">
        <v>0</v>
      </c>
      <c r="I163" s="103" t="n">
        <v>43</v>
      </c>
      <c r="J163" s="4" t="inlineStr">
        <is>
          <t>Bar</t>
        </is>
      </c>
      <c r="K163" s="19" t="inlineStr">
        <is>
          <t>YOKOGAWA</t>
        </is>
      </c>
      <c r="L163" s="19" t="inlineStr">
        <is>
          <t>EJA530E</t>
        </is>
      </c>
      <c r="M163" s="19" t="inlineStr">
        <is>
          <t>91S313287</t>
        </is>
      </c>
      <c r="N163" s="2">
        <f>IF(E163="","Waiting","Calibrated")</f>
        <v/>
      </c>
      <c r="O163" s="2" t="n"/>
      <c r="P163" s="2" t="inlineStr">
        <is>
          <t>ZM06</t>
        </is>
      </c>
      <c r="Q163" s="2" t="n"/>
      <c r="R163" s="28" t="n"/>
      <c r="S163" s="28" t="inlineStr">
        <is>
          <t>11LBC00GH101</t>
        </is>
      </c>
      <c r="T163" s="32" t="n"/>
    </row>
    <row r="164" ht="30" customFormat="1" customHeight="1" s="5">
      <c r="A164" s="17" t="n">
        <v>162</v>
      </c>
      <c r="B164" s="17" t="inlineStr">
        <is>
          <t>KIPP11</t>
        </is>
      </c>
      <c r="C164" s="2" t="inlineStr">
        <is>
          <t>11LBC30CP001</t>
        </is>
      </c>
      <c r="D164" s="14" t="inlineStr">
        <is>
          <t>COLD REHEAT STEAM PT</t>
        </is>
      </c>
      <c r="E164" s="37" t="n"/>
      <c r="F164" s="103" t="n">
        <v>-1.01</v>
      </c>
      <c r="G164" s="103" t="n">
        <v>275.79</v>
      </c>
      <c r="H164" s="103" t="n">
        <v>0</v>
      </c>
      <c r="I164" s="103" t="n">
        <v>60</v>
      </c>
      <c r="J164" s="4" t="inlineStr">
        <is>
          <t>Bar</t>
        </is>
      </c>
      <c r="K164" s="19" t="inlineStr">
        <is>
          <t>ROSEMOUNT</t>
        </is>
      </c>
      <c r="L164" s="19" t="inlineStr">
        <is>
          <t>2051 PT</t>
        </is>
      </c>
      <c r="M164" s="20" t="n">
        <v>210433</v>
      </c>
      <c r="N164" s="2">
        <f>IF(E164="","Waiting","Calibrated")</f>
        <v/>
      </c>
      <c r="O164" s="2" t="n"/>
      <c r="P164" s="2" t="inlineStr">
        <is>
          <t>ZM06</t>
        </is>
      </c>
      <c r="Q164" s="2" t="n"/>
      <c r="R164" s="28" t="n"/>
      <c r="S164" s="28" t="inlineStr">
        <is>
          <t>11HAC58GH101</t>
        </is>
      </c>
      <c r="T164" s="32" t="n"/>
    </row>
    <row r="165" ht="30" customFormat="1" customHeight="1" s="5">
      <c r="A165" s="17" t="n">
        <v>163</v>
      </c>
      <c r="B165" s="17" t="inlineStr">
        <is>
          <t>KIPP11</t>
        </is>
      </c>
      <c r="C165" s="2" t="inlineStr">
        <is>
          <t>11LBG91CP001</t>
        </is>
      </c>
      <c r="D165" s="14" t="inlineStr">
        <is>
          <t>GT OTC OUT STEAM LINE PT-1</t>
        </is>
      </c>
      <c r="E165" s="37" t="n">
        <v>46114</v>
      </c>
      <c r="F165" s="103" t="n">
        <v>-1</v>
      </c>
      <c r="G165" s="103" t="n">
        <v>500</v>
      </c>
      <c r="H165" s="103" t="n">
        <v>0</v>
      </c>
      <c r="I165" s="103" t="n">
        <v>192</v>
      </c>
      <c r="J165" s="4" t="inlineStr">
        <is>
          <t>Bar</t>
        </is>
      </c>
      <c r="K165" s="19" t="inlineStr">
        <is>
          <t>YOKOGAWA</t>
        </is>
      </c>
      <c r="L165" s="19" t="inlineStr">
        <is>
          <t>EJA530E</t>
        </is>
      </c>
      <c r="M165" s="19" t="inlineStr">
        <is>
          <t>91S313324</t>
        </is>
      </c>
      <c r="N165" s="2">
        <f>IF(E165="","Waiting","Calibrated")</f>
        <v/>
      </c>
      <c r="O165" s="2" t="n"/>
      <c r="P165" s="2" t="inlineStr">
        <is>
          <t>ZM06</t>
        </is>
      </c>
      <c r="Q165" s="2" t="n"/>
      <c r="R165" s="28" t="n"/>
      <c r="S165" s="28" t="n"/>
      <c r="T165" s="32" t="n"/>
    </row>
    <row r="166" ht="30" customFormat="1" customHeight="1" s="5">
      <c r="A166" s="17" t="n">
        <v>164</v>
      </c>
      <c r="B166" s="17" t="inlineStr">
        <is>
          <t>KIPP11</t>
        </is>
      </c>
      <c r="C166" s="2" t="inlineStr">
        <is>
          <t>11LBG91CP002</t>
        </is>
      </c>
      <c r="D166" s="14" t="inlineStr">
        <is>
          <t>GT OTC OUT STEAM LINE PT-2</t>
        </is>
      </c>
      <c r="E166" s="37" t="n">
        <v>46114</v>
      </c>
      <c r="F166" s="103" t="n">
        <v>-1</v>
      </c>
      <c r="G166" s="103" t="n">
        <v>500</v>
      </c>
      <c r="H166" s="103" t="n">
        <v>0</v>
      </c>
      <c r="I166" s="103" t="n">
        <v>192</v>
      </c>
      <c r="J166" s="4" t="inlineStr">
        <is>
          <t>Bar</t>
        </is>
      </c>
      <c r="K166" s="19" t="inlineStr">
        <is>
          <t>YOKOGAWA</t>
        </is>
      </c>
      <c r="L166" s="19" t="inlineStr">
        <is>
          <t>EJA530E</t>
        </is>
      </c>
      <c r="M166" s="19" t="inlineStr">
        <is>
          <t>91S313326</t>
        </is>
      </c>
      <c r="N166" s="2">
        <f>IF(E166="","Waiting","Calibrated")</f>
        <v/>
      </c>
      <c r="O166" s="2" t="n"/>
      <c r="P166" s="2" t="inlineStr">
        <is>
          <t>ZM06</t>
        </is>
      </c>
      <c r="Q166" s="2" t="n"/>
      <c r="R166" s="28" t="n"/>
      <c r="S166" s="28" t="n"/>
      <c r="T166" s="32" t="n"/>
    </row>
    <row r="167" ht="30" customFormat="1" customHeight="1" s="5">
      <c r="A167" s="17" t="n">
        <v>165</v>
      </c>
      <c r="B167" s="17" t="inlineStr">
        <is>
          <t>KIPP11</t>
        </is>
      </c>
      <c r="C167" s="2" t="inlineStr">
        <is>
          <t>11LCA20CF101</t>
        </is>
      </c>
      <c r="D167" s="14" t="inlineStr">
        <is>
          <t>LP STEAM BYPASS SPRAYAY WATER FT</t>
        </is>
      </c>
      <c r="E167" s="37" t="n">
        <v>46097</v>
      </c>
      <c r="F167" s="103" t="n">
        <v>-10197.2</v>
      </c>
      <c r="G167" s="103" t="n">
        <v>10197.2</v>
      </c>
      <c r="H167" s="103" t="n">
        <v>0</v>
      </c>
      <c r="I167" s="103" t="n">
        <v>5000</v>
      </c>
      <c r="J167" s="4" t="inlineStr">
        <is>
          <t>mmH2O</t>
        </is>
      </c>
      <c r="K167" s="19" t="inlineStr">
        <is>
          <t>YOKOGAWA</t>
        </is>
      </c>
      <c r="L167" s="19" t="inlineStr">
        <is>
          <t>EJA110E</t>
        </is>
      </c>
      <c r="M167" s="19" t="inlineStr">
        <is>
          <t>91S313062</t>
        </is>
      </c>
      <c r="N167" s="2">
        <f>IF(E167="","Waiting","Calibrated")</f>
        <v/>
      </c>
      <c r="O167" s="2" t="n"/>
      <c r="P167" s="2" t="inlineStr">
        <is>
          <t>ZM06</t>
        </is>
      </c>
      <c r="Q167" s="2" t="n"/>
      <c r="R167" s="28" t="n"/>
      <c r="S167" s="28" t="n"/>
      <c r="T167" s="32" t="n"/>
    </row>
    <row r="168" ht="30" customFormat="1" customHeight="1" s="5">
      <c r="A168" s="17" t="n">
        <v>166</v>
      </c>
      <c r="B168" s="17" t="inlineStr">
        <is>
          <t>KIPP11</t>
        </is>
      </c>
      <c r="C168" s="2" t="inlineStr">
        <is>
          <t>11LCA21CF101</t>
        </is>
      </c>
      <c r="D168" s="14" t="inlineStr">
        <is>
          <t>HOT REHEAT STEAM BYPASS SPRAYAY WATER FT</t>
        </is>
      </c>
      <c r="E168" s="37" t="n">
        <v>46097</v>
      </c>
      <c r="F168" s="103" t="n">
        <v>-10197.2</v>
      </c>
      <c r="G168" s="103" t="n">
        <v>10197.2</v>
      </c>
      <c r="H168" s="103" t="n">
        <v>0</v>
      </c>
      <c r="I168" s="103" t="n">
        <v>5000</v>
      </c>
      <c r="J168" s="4" t="inlineStr">
        <is>
          <t>mmH2O</t>
        </is>
      </c>
      <c r="K168" s="19" t="inlineStr">
        <is>
          <t>YOKOGAWA</t>
        </is>
      </c>
      <c r="L168" s="19" t="inlineStr">
        <is>
          <t>EJA110E</t>
        </is>
      </c>
      <c r="M168" s="19" t="inlineStr">
        <is>
          <t>91S313060</t>
        </is>
      </c>
      <c r="N168" s="2">
        <f>IF(E168="","Waiting","Calibrated")</f>
        <v/>
      </c>
      <c r="O168" s="2" t="n"/>
      <c r="P168" s="2" t="inlineStr">
        <is>
          <t>ZM06</t>
        </is>
      </c>
      <c r="Q168" s="2" t="n"/>
      <c r="R168" s="28" t="n"/>
      <c r="S168" s="28" t="n"/>
      <c r="T168" s="32" t="n"/>
    </row>
    <row r="169" ht="30" customFormat="1" customHeight="1" s="5">
      <c r="A169" s="17" t="n">
        <v>167</v>
      </c>
      <c r="B169" s="17" t="inlineStr">
        <is>
          <t>KIPP11</t>
        </is>
      </c>
      <c r="C169" s="2" t="inlineStr">
        <is>
          <t>11MBA30CP001</t>
        </is>
      </c>
      <c r="D169" s="14" t="inlineStr">
        <is>
          <t>PRESSURE MEASUREMENT EXHAUST DIFFUSER</t>
        </is>
      </c>
      <c r="E169" s="37" t="n">
        <v>46041</v>
      </c>
      <c r="F169" s="103" t="n">
        <v>0</v>
      </c>
      <c r="G169" s="103" t="n">
        <v>20.684</v>
      </c>
      <c r="H169" s="103" t="n">
        <v>0.8</v>
      </c>
      <c r="I169" s="103" t="n">
        <v>1.2</v>
      </c>
      <c r="J169" s="4" t="inlineStr">
        <is>
          <t>Bar</t>
        </is>
      </c>
      <c r="K169" s="19" t="inlineStr">
        <is>
          <t>ROSEMOUNT</t>
        </is>
      </c>
      <c r="L169" s="19" t="inlineStr">
        <is>
          <t>3051 PT</t>
        </is>
      </c>
      <c r="M169" s="19" t="n">
        <v>9824805</v>
      </c>
      <c r="N169" s="2">
        <f>IF(E169="","Waiting","Calibrated")</f>
        <v/>
      </c>
      <c r="O169" s="2" t="n"/>
      <c r="P169" s="2" t="inlineStr">
        <is>
          <t>ZM06</t>
        </is>
      </c>
      <c r="Q169" s="2" t="n"/>
      <c r="R169" s="28" t="n"/>
      <c r="S169" s="28" t="n"/>
      <c r="T169" s="32" t="n"/>
    </row>
    <row r="170" ht="30" customFormat="1" customHeight="1" s="5">
      <c r="A170" s="17" t="n">
        <v>168</v>
      </c>
      <c r="B170" s="17" t="inlineStr">
        <is>
          <t>KIPP11</t>
        </is>
      </c>
      <c r="C170" s="2" t="inlineStr">
        <is>
          <t>11MBA30CP003</t>
        </is>
      </c>
      <c r="D170" s="14" t="inlineStr">
        <is>
          <t>PRESSURE MEASUREMENT EXHAUST DIFFUSER</t>
        </is>
      </c>
      <c r="E170" s="37" t="n">
        <v>46041</v>
      </c>
      <c r="F170" s="103" t="n">
        <v>0</v>
      </c>
      <c r="G170" s="103" t="n">
        <v>20.684</v>
      </c>
      <c r="H170" s="103" t="n">
        <v>0.8</v>
      </c>
      <c r="I170" s="103" t="n">
        <v>1.2</v>
      </c>
      <c r="J170" s="4" t="inlineStr">
        <is>
          <t>Bar</t>
        </is>
      </c>
      <c r="K170" s="19" t="inlineStr">
        <is>
          <t>ROSEMOUNT</t>
        </is>
      </c>
      <c r="L170" s="19" t="inlineStr">
        <is>
          <t>3051 PT</t>
        </is>
      </c>
      <c r="M170" s="19" t="n">
        <v>9824806</v>
      </c>
      <c r="N170" s="2">
        <f>IF(E170="","Waiting","Calibrated")</f>
        <v/>
      </c>
      <c r="O170" s="2" t="n"/>
      <c r="P170" s="2" t="inlineStr">
        <is>
          <t>ZM06</t>
        </is>
      </c>
      <c r="Q170" s="2" t="n"/>
      <c r="R170" s="28" t="n"/>
      <c r="S170" s="28" t="n"/>
      <c r="T170" s="32" t="n"/>
    </row>
    <row r="171" ht="30" customFormat="1" customHeight="1" s="5">
      <c r="A171" s="17" t="n">
        <v>169</v>
      </c>
      <c r="B171" s="17" t="inlineStr">
        <is>
          <t>KIPP11</t>
        </is>
      </c>
      <c r="C171" s="2" t="inlineStr">
        <is>
          <t>11MBA30CP004</t>
        </is>
      </c>
      <c r="D171" s="14" t="inlineStr">
        <is>
          <t>PRESSURE MEASUREMENT EXHAUST DIFFUSER</t>
        </is>
      </c>
      <c r="E171" s="37" t="n">
        <v>46041</v>
      </c>
      <c r="F171" s="103" t="n">
        <v>0</v>
      </c>
      <c r="G171" s="103" t="n">
        <v>20.684</v>
      </c>
      <c r="H171" s="103" t="n">
        <v>0.8</v>
      </c>
      <c r="I171" s="103" t="n">
        <v>1.2</v>
      </c>
      <c r="J171" s="4" t="inlineStr">
        <is>
          <t>Bar</t>
        </is>
      </c>
      <c r="K171" s="19" t="inlineStr">
        <is>
          <t>ROSEMOUNT</t>
        </is>
      </c>
      <c r="L171" s="19" t="inlineStr">
        <is>
          <t>3051 PT</t>
        </is>
      </c>
      <c r="M171" s="19" t="n">
        <v>9824807</v>
      </c>
      <c r="N171" s="2">
        <f>IF(E171="","Waiting","Calibrated")</f>
        <v/>
      </c>
      <c r="O171" s="2" t="n"/>
      <c r="P171" s="2" t="inlineStr">
        <is>
          <t>ZM06</t>
        </is>
      </c>
      <c r="Q171" s="2" t="n"/>
      <c r="R171" s="28" t="n"/>
      <c r="S171" s="28" t="n"/>
      <c r="T171" s="32" t="n"/>
    </row>
    <row r="172" ht="30" customFormat="1" customHeight="1" s="5">
      <c r="A172" s="17" t="n">
        <v>170</v>
      </c>
      <c r="B172" s="17" t="inlineStr">
        <is>
          <t>KIPP11</t>
        </is>
      </c>
      <c r="C172" s="2" t="inlineStr">
        <is>
          <t>11MBA80CP051</t>
        </is>
      </c>
      <c r="D172" s="14" t="inlineStr">
        <is>
          <t>GT AFT COMPRESSOR 1H PT</t>
        </is>
      </c>
      <c r="E172" s="37" t="n">
        <v>46041</v>
      </c>
      <c r="F172" s="103" t="n">
        <v>-137.89</v>
      </c>
      <c r="G172" s="103" t="n">
        <v>137.89</v>
      </c>
      <c r="H172" s="103" t="n">
        <v>0</v>
      </c>
      <c r="I172" s="103" t="n">
        <v>40</v>
      </c>
      <c r="J172" s="4" t="inlineStr">
        <is>
          <t>Bar</t>
        </is>
      </c>
      <c r="K172" s="19" t="inlineStr">
        <is>
          <t>ROSEMOUNT</t>
        </is>
      </c>
      <c r="L172" s="19" t="inlineStr">
        <is>
          <t>3051CG</t>
        </is>
      </c>
      <c r="M172" s="20" t="n">
        <v>9825256</v>
      </c>
      <c r="N172" s="2">
        <f>IF(E172="","Waiting","Calibrated")</f>
        <v/>
      </c>
      <c r="O172" s="2" t="n"/>
      <c r="P172" s="2" t="inlineStr">
        <is>
          <t>ZM06</t>
        </is>
      </c>
      <c r="Q172" s="2" t="n"/>
      <c r="R172" s="28" t="n"/>
      <c r="S172" s="28" t="n"/>
      <c r="T172" s="32" t="n"/>
    </row>
    <row r="173" ht="30" customFormat="1" customHeight="1" s="5">
      <c r="A173" s="17" t="n">
        <v>171</v>
      </c>
      <c r="B173" s="17" t="inlineStr">
        <is>
          <t>KIPP11</t>
        </is>
      </c>
      <c r="C173" s="2" t="inlineStr">
        <is>
          <t>11MBA80CP052</t>
        </is>
      </c>
      <c r="D173" s="14" t="inlineStr">
        <is>
          <t>GT AFT COMPRESSOR 4H PT</t>
        </is>
      </c>
      <c r="E173" s="37" t="n">
        <v>46041</v>
      </c>
      <c r="F173" s="103" t="n">
        <v>-137.89</v>
      </c>
      <c r="G173" s="103" t="n">
        <v>137.89</v>
      </c>
      <c r="H173" s="103" t="n">
        <v>0</v>
      </c>
      <c r="I173" s="103" t="n">
        <v>40</v>
      </c>
      <c r="J173" s="4" t="inlineStr">
        <is>
          <t>Bar</t>
        </is>
      </c>
      <c r="K173" s="19" t="inlineStr">
        <is>
          <t>ROSEMOUNT</t>
        </is>
      </c>
      <c r="L173" s="19" t="inlineStr">
        <is>
          <t>3051CG</t>
        </is>
      </c>
      <c r="M173" s="20" t="n">
        <v>9825257</v>
      </c>
      <c r="N173" s="2">
        <f>IF(E173="","Waiting","Calibrated")</f>
        <v/>
      </c>
      <c r="O173" s="2" t="n"/>
      <c r="P173" s="2" t="inlineStr">
        <is>
          <t>ZM06</t>
        </is>
      </c>
      <c r="Q173" s="2" t="n"/>
      <c r="R173" s="28" t="n"/>
      <c r="S173" s="28" t="n"/>
      <c r="T173" s="32" t="n"/>
    </row>
    <row r="174" ht="30" customFormat="1" customHeight="1" s="5">
      <c r="A174" s="17" t="n">
        <v>172</v>
      </c>
      <c r="B174" s="17" t="inlineStr">
        <is>
          <t>KIPP11</t>
        </is>
      </c>
      <c r="C174" s="2" t="inlineStr">
        <is>
          <t>11MBA80CP054</t>
        </is>
      </c>
      <c r="D174" s="14" t="inlineStr">
        <is>
          <t>P AFT COMPRESSOR 8H PT</t>
        </is>
      </c>
      <c r="E174" s="37" t="n">
        <v>46041</v>
      </c>
      <c r="F174" s="103" t="n">
        <v>-137.89</v>
      </c>
      <c r="G174" s="103" t="n">
        <v>137.89</v>
      </c>
      <c r="H174" s="103" t="inlineStr">
        <is>
          <t>0</t>
        </is>
      </c>
      <c r="I174" s="103" t="inlineStr">
        <is>
          <t>40</t>
        </is>
      </c>
      <c r="J174" s="4" t="inlineStr">
        <is>
          <t>Bar</t>
        </is>
      </c>
      <c r="K174" s="19" t="inlineStr">
        <is>
          <t>ROSEMOUNT</t>
        </is>
      </c>
      <c r="L174" s="19" t="inlineStr">
        <is>
          <t>3051CD</t>
        </is>
      </c>
      <c r="M174" s="20" t="n">
        <v>9825258</v>
      </c>
      <c r="N174" s="2">
        <f>IF(E174="","Waiting","Calibrated")</f>
        <v/>
      </c>
      <c r="O174" s="2" t="n"/>
      <c r="P174" s="2" t="inlineStr">
        <is>
          <t>ZM06</t>
        </is>
      </c>
      <c r="Q174" s="2" t="n"/>
      <c r="R174" s="28" t="n"/>
      <c r="S174" s="28" t="n"/>
      <c r="T174" s="32" t="n"/>
    </row>
    <row r="175" ht="30" customFormat="1" customHeight="1" s="5">
      <c r="A175" s="17" t="n">
        <v>173</v>
      </c>
      <c r="B175" s="17" t="inlineStr">
        <is>
          <t>KIPP11</t>
        </is>
      </c>
      <c r="C175" s="2" t="inlineStr">
        <is>
          <t>11MBE41CP013</t>
        </is>
      </c>
      <c r="D175" s="14" t="inlineStr">
        <is>
          <t>GT H/F WATER PUMP SUCTION FILTER PDT</t>
        </is>
      </c>
      <c r="E175" s="37" t="n"/>
      <c r="F175" s="103" t="n">
        <v>0</v>
      </c>
      <c r="G175" s="103" t="n">
        <v>0</v>
      </c>
      <c r="H175" s="103" t="n">
        <v>-1000</v>
      </c>
      <c r="I175" s="103" t="n">
        <v>2200</v>
      </c>
      <c r="J175" s="4" t="inlineStr">
        <is>
          <t>mBar</t>
        </is>
      </c>
      <c r="K175" s="33" t="inlineStr">
        <is>
          <t>ROSEMOUNT</t>
        </is>
      </c>
      <c r="L175" s="33" t="inlineStr">
        <is>
          <t>2088TG</t>
        </is>
      </c>
      <c r="M175" s="20" t="n">
        <v>2753518</v>
      </c>
      <c r="N175" s="2">
        <f>IF(E175="","Waiting","Calibrated")</f>
        <v/>
      </c>
      <c r="O175" s="2" t="n"/>
      <c r="P175" s="2" t="inlineStr">
        <is>
          <t>ZM06</t>
        </is>
      </c>
      <c r="Q175" s="2" t="n"/>
      <c r="R175" s="28" t="n"/>
      <c r="S175" s="28" t="n"/>
      <c r="T175" s="32" t="n"/>
    </row>
    <row r="176" ht="30" customFormat="1" customHeight="1" s="5">
      <c r="A176" s="17" t="n">
        <v>174</v>
      </c>
      <c r="B176" s="17" t="inlineStr">
        <is>
          <t>KIPP11</t>
        </is>
      </c>
      <c r="C176" s="2" t="inlineStr">
        <is>
          <t>11MBE41CP121</t>
        </is>
      </c>
      <c r="D176" s="14" t="inlineStr">
        <is>
          <t>GT H/F WATER PUMP-1 SUCTION PT</t>
        </is>
      </c>
      <c r="E176" s="37" t="n"/>
      <c r="F176" s="103" t="n">
        <v>-14.7</v>
      </c>
      <c r="G176" s="103" t="n">
        <v>800</v>
      </c>
      <c r="H176" s="103" t="n">
        <v>-14.7</v>
      </c>
      <c r="I176" s="103" t="n">
        <v>150</v>
      </c>
      <c r="J176" s="4" t="inlineStr">
        <is>
          <t>psi</t>
        </is>
      </c>
      <c r="K176" s="33" t="inlineStr">
        <is>
          <t>ROSEMOUNT</t>
        </is>
      </c>
      <c r="L176" s="33" t="inlineStr">
        <is>
          <t>2051TG</t>
        </is>
      </c>
      <c r="M176" s="20" t="n">
        <v>210595</v>
      </c>
      <c r="N176" s="2">
        <f>IF(E176="","Waiting","Calibrated")</f>
        <v/>
      </c>
      <c r="O176" s="2" t="n"/>
      <c r="P176" s="2" t="inlineStr">
        <is>
          <t>ZM06</t>
        </is>
      </c>
      <c r="Q176" s="2" t="n"/>
      <c r="R176" s="28" t="n"/>
      <c r="S176" s="28" t="n"/>
      <c r="T176" s="32" t="n"/>
    </row>
    <row r="177" ht="30" customFormat="1" customHeight="1" s="5">
      <c r="A177" s="17" t="n">
        <v>175</v>
      </c>
      <c r="B177" s="17" t="inlineStr">
        <is>
          <t>KIPP11</t>
        </is>
      </c>
      <c r="C177" s="2" t="inlineStr">
        <is>
          <t>11MBE41CP122</t>
        </is>
      </c>
      <c r="D177" s="14" t="inlineStr">
        <is>
          <t>GT H/F WATER PUMP-2 SUCTION PT</t>
        </is>
      </c>
      <c r="E177" s="37" t="n"/>
      <c r="F177" s="103" t="n">
        <v>-14.7</v>
      </c>
      <c r="G177" s="103" t="n">
        <v>4000</v>
      </c>
      <c r="H177" s="103" t="n">
        <v>-14.7</v>
      </c>
      <c r="I177" s="103" t="n">
        <v>150</v>
      </c>
      <c r="J177" s="4" t="inlineStr">
        <is>
          <t>psi</t>
        </is>
      </c>
      <c r="K177" s="33" t="inlineStr">
        <is>
          <t>ROSEMOUNT</t>
        </is>
      </c>
      <c r="L177" s="33" t="inlineStr">
        <is>
          <t>2051TG</t>
        </is>
      </c>
      <c r="M177" s="20" t="n">
        <v>210445</v>
      </c>
      <c r="N177" s="2">
        <f>IF(E177="","Waiting","Calibrated")</f>
        <v/>
      </c>
      <c r="O177" s="2" t="n"/>
      <c r="P177" s="2" t="inlineStr">
        <is>
          <t>ZM06</t>
        </is>
      </c>
      <c r="Q177" s="2" t="n"/>
      <c r="R177" s="28" t="n"/>
      <c r="S177" s="28" t="n"/>
      <c r="T177" s="32" t="n"/>
    </row>
    <row r="178" ht="30" customFormat="1" customHeight="1" s="5">
      <c r="A178" s="17" t="n">
        <v>176</v>
      </c>
      <c r="B178" s="17" t="inlineStr">
        <is>
          <t>KIPP11</t>
        </is>
      </c>
      <c r="C178" s="2" t="inlineStr">
        <is>
          <t>11MBE41CP123</t>
        </is>
      </c>
      <c r="D178" s="14" t="inlineStr">
        <is>
          <t>GT H/F WATER PUMP-3 SUCTION PT</t>
        </is>
      </c>
      <c r="E178" s="37" t="n"/>
      <c r="F178" s="103" t="n">
        <v>-14.7</v>
      </c>
      <c r="G178" s="103" t="n">
        <v>800</v>
      </c>
      <c r="H178" s="103" t="n">
        <v>-14.7</v>
      </c>
      <c r="I178" s="103" t="n">
        <v>150</v>
      </c>
      <c r="J178" s="4" t="inlineStr">
        <is>
          <t>psi</t>
        </is>
      </c>
      <c r="K178" s="33" t="inlineStr">
        <is>
          <t>ROSEMOUNT</t>
        </is>
      </c>
      <c r="L178" s="33" t="inlineStr">
        <is>
          <t>2051TG</t>
        </is>
      </c>
      <c r="M178" s="20" t="n">
        <v>210429</v>
      </c>
      <c r="N178" s="2">
        <f>IF(E178="","Waiting","Calibrated")</f>
        <v/>
      </c>
      <c r="O178" s="2" t="n"/>
      <c r="P178" s="2" t="inlineStr">
        <is>
          <t>ZM06</t>
        </is>
      </c>
      <c r="Q178" s="2" t="n"/>
      <c r="R178" s="28" t="n"/>
      <c r="S178" s="28" t="n"/>
      <c r="T178" s="32" t="n"/>
    </row>
    <row r="179" ht="30" customFormat="1" customHeight="1" s="5">
      <c r="A179" s="17" t="n">
        <v>177</v>
      </c>
      <c r="B179" s="17" t="inlineStr">
        <is>
          <t>KIPP11</t>
        </is>
      </c>
      <c r="C179" s="2" t="inlineStr">
        <is>
          <t>11MBE41CP124</t>
        </is>
      </c>
      <c r="D179" s="14" t="inlineStr">
        <is>
          <t>GT H/F WATER PUMP-4 SUCTION PT</t>
        </is>
      </c>
      <c r="E179" s="37" t="n"/>
      <c r="F179" s="103" t="n">
        <v>-14.7</v>
      </c>
      <c r="G179" s="103" t="n">
        <v>4000</v>
      </c>
      <c r="H179" s="103" t="n">
        <v>-14.7</v>
      </c>
      <c r="I179" s="103" t="n">
        <v>150</v>
      </c>
      <c r="J179" s="4" t="inlineStr">
        <is>
          <t>psi</t>
        </is>
      </c>
      <c r="K179" s="33" t="inlineStr">
        <is>
          <t>ROSEMOUNT</t>
        </is>
      </c>
      <c r="L179" s="33" t="inlineStr">
        <is>
          <t>2051TG</t>
        </is>
      </c>
      <c r="M179" s="20" t="n">
        <v>210446</v>
      </c>
      <c r="N179" s="2">
        <f>IF(E179="","Waiting","Calibrated")</f>
        <v/>
      </c>
      <c r="O179" s="2" t="n"/>
      <c r="P179" s="2" t="inlineStr">
        <is>
          <t>ZM06</t>
        </is>
      </c>
      <c r="Q179" s="2" t="n"/>
      <c r="R179" s="28" t="n"/>
      <c r="S179" s="28" t="n"/>
      <c r="T179" s="32" t="n"/>
    </row>
    <row r="180" ht="30" customFormat="1" customHeight="1" s="5">
      <c r="A180" s="17" t="n">
        <v>178</v>
      </c>
      <c r="B180" s="17" t="inlineStr">
        <is>
          <t>KIPP11</t>
        </is>
      </c>
      <c r="C180" s="2" t="inlineStr">
        <is>
          <t>11MBE41CP141</t>
        </is>
      </c>
      <c r="D180" s="14" t="inlineStr">
        <is>
          <t>GT H/F WATER PUMP-1 DISCHARGE PT</t>
        </is>
      </c>
      <c r="E180" s="37" t="n"/>
      <c r="F180" s="103" t="n">
        <v>0</v>
      </c>
      <c r="G180" s="103" t="n">
        <v>4000</v>
      </c>
      <c r="H180" s="103" t="n">
        <v>-14.7</v>
      </c>
      <c r="I180" s="103" t="n">
        <v>4000</v>
      </c>
      <c r="J180" s="4" t="inlineStr">
        <is>
          <t>psi</t>
        </is>
      </c>
      <c r="K180" s="33" t="inlineStr">
        <is>
          <t>ROSEMOUNT</t>
        </is>
      </c>
      <c r="L180" s="33" t="inlineStr">
        <is>
          <t>2088TG</t>
        </is>
      </c>
      <c r="M180" s="20" t="n">
        <v>631493</v>
      </c>
      <c r="N180" s="2">
        <f>IF(E180="","Waiting","Calibrated")</f>
        <v/>
      </c>
      <c r="O180" s="2" t="n"/>
      <c r="P180" s="2" t="inlineStr">
        <is>
          <t>ZM06</t>
        </is>
      </c>
      <c r="Q180" s="2" t="n"/>
      <c r="R180" s="28" t="n"/>
      <c r="S180" s="28" t="n"/>
      <c r="T180" s="32" t="n"/>
    </row>
    <row r="181" ht="30" customFormat="1" customHeight="1" s="5">
      <c r="A181" s="17" t="n">
        <v>179</v>
      </c>
      <c r="B181" s="17" t="inlineStr">
        <is>
          <t>KIPP11</t>
        </is>
      </c>
      <c r="C181" s="2" t="inlineStr">
        <is>
          <t>11MBE41CP142</t>
        </is>
      </c>
      <c r="D181" s="14" t="inlineStr">
        <is>
          <t>GT H/F WATER PUMP-2 DISCHARGE PT</t>
        </is>
      </c>
      <c r="E181" s="37" t="n"/>
      <c r="F181" s="103" t="n">
        <v>-14.7</v>
      </c>
      <c r="G181" s="103" t="n">
        <v>4000</v>
      </c>
      <c r="H181" s="103" t="n">
        <v>-14.7</v>
      </c>
      <c r="I181" s="103" t="n">
        <v>4000</v>
      </c>
      <c r="J181" s="4" t="inlineStr">
        <is>
          <t>psi</t>
        </is>
      </c>
      <c r="K181" s="33" t="inlineStr">
        <is>
          <t>ROSEMOUNT</t>
        </is>
      </c>
      <c r="L181" s="33" t="inlineStr">
        <is>
          <t>2088TG</t>
        </is>
      </c>
      <c r="M181" s="20" t="n">
        <v>607375</v>
      </c>
      <c r="N181" s="2">
        <f>IF(E181="","Waiting","Calibrated")</f>
        <v/>
      </c>
      <c r="O181" s="2" t="n"/>
      <c r="P181" s="2" t="inlineStr">
        <is>
          <t>ZM06</t>
        </is>
      </c>
      <c r="Q181" s="2" t="n"/>
      <c r="R181" s="28" t="n"/>
      <c r="S181" s="28" t="n"/>
      <c r="T181" s="32" t="n"/>
    </row>
    <row r="182" ht="30" customFormat="1" customHeight="1" s="5">
      <c r="A182" s="17" t="n">
        <v>180</v>
      </c>
      <c r="B182" s="17" t="inlineStr">
        <is>
          <t>KIPP11</t>
        </is>
      </c>
      <c r="C182" s="2" t="inlineStr">
        <is>
          <t>11MBE41CP143</t>
        </is>
      </c>
      <c r="D182" s="14" t="inlineStr">
        <is>
          <t>GT H/F WATER PUMP-3 DISCHARGE PT</t>
        </is>
      </c>
      <c r="E182" s="37" t="n"/>
      <c r="F182" s="103" t="n">
        <v>0</v>
      </c>
      <c r="G182" s="103" t="n">
        <v>4000</v>
      </c>
      <c r="H182" s="103" t="n">
        <v>-14.7</v>
      </c>
      <c r="I182" s="103" t="n">
        <v>4000</v>
      </c>
      <c r="J182" s="4" t="inlineStr">
        <is>
          <t>psi</t>
        </is>
      </c>
      <c r="K182" s="33" t="inlineStr">
        <is>
          <t>ROSEMOUNT</t>
        </is>
      </c>
      <c r="L182" s="33" t="inlineStr">
        <is>
          <t>2088TG</t>
        </is>
      </c>
      <c r="M182" s="20" t="n">
        <v>631492</v>
      </c>
      <c r="N182" s="2">
        <f>IF(E182="","Waiting","Calibrated")</f>
        <v/>
      </c>
      <c r="O182" s="2" t="n"/>
      <c r="P182" s="2" t="n"/>
      <c r="Q182" s="2" t="n"/>
      <c r="R182" s="28" t="n"/>
      <c r="S182" s="28" t="n"/>
      <c r="T182" s="32" t="n"/>
    </row>
    <row r="183" ht="30" customFormat="1" customHeight="1" s="5">
      <c r="A183" s="17" t="n">
        <v>181</v>
      </c>
      <c r="B183" s="17" t="inlineStr">
        <is>
          <t>KIPP11</t>
        </is>
      </c>
      <c r="C183" s="2" t="inlineStr">
        <is>
          <t>11MBE41CP144</t>
        </is>
      </c>
      <c r="D183" s="14" t="inlineStr">
        <is>
          <t>GT H/F WATER PUMP-4 DISCHARGE PT</t>
        </is>
      </c>
      <c r="E183" s="37" t="n"/>
      <c r="F183" s="103" t="n">
        <v>0</v>
      </c>
      <c r="G183" s="103" t="n">
        <v>4000</v>
      </c>
      <c r="H183" s="103" t="n">
        <v>-14.7</v>
      </c>
      <c r="I183" s="103" t="n">
        <v>4000</v>
      </c>
      <c r="J183" s="4" t="inlineStr">
        <is>
          <t>psi</t>
        </is>
      </c>
      <c r="K183" s="33" t="inlineStr">
        <is>
          <t>ROSEMOUNT</t>
        </is>
      </c>
      <c r="L183" s="33" t="inlineStr">
        <is>
          <t>2088TG</t>
        </is>
      </c>
      <c r="M183" s="20" t="n">
        <v>631494</v>
      </c>
      <c r="N183" s="2">
        <f>IF(E183="","Waiting","Calibrated")</f>
        <v/>
      </c>
      <c r="O183" s="2" t="n"/>
      <c r="P183" s="2" t="inlineStr">
        <is>
          <t>ZM06</t>
        </is>
      </c>
      <c r="Q183" s="2" t="n"/>
      <c r="R183" s="28" t="n"/>
      <c r="S183" s="28" t="n"/>
      <c r="T183" s="32" t="n"/>
    </row>
    <row r="184" ht="30" customFormat="1" customHeight="1" s="5">
      <c r="A184" s="17" t="n">
        <v>182</v>
      </c>
      <c r="B184" s="17" t="inlineStr">
        <is>
          <t>KIPP11</t>
        </is>
      </c>
      <c r="C184" s="2" t="inlineStr">
        <is>
          <t>11MBH20CP007</t>
        </is>
      </c>
      <c r="D184" s="14" t="inlineStr">
        <is>
          <t>GT CARR COOLING AIR PT</t>
        </is>
      </c>
      <c r="E184" s="37" t="n">
        <v>46041</v>
      </c>
      <c r="F184" s="103" t="n">
        <v>-137.89</v>
      </c>
      <c r="G184" s="103" t="n">
        <v>137.89</v>
      </c>
      <c r="H184" s="103" t="n">
        <v>0</v>
      </c>
      <c r="I184" s="103" t="n">
        <v>15</v>
      </c>
      <c r="J184" s="4" t="inlineStr">
        <is>
          <t>Bar</t>
        </is>
      </c>
      <c r="K184" s="19" t="inlineStr">
        <is>
          <t>ROSEMOUNT</t>
        </is>
      </c>
      <c r="L184" s="19" t="inlineStr">
        <is>
          <t>3051CG</t>
        </is>
      </c>
      <c r="M184" s="20" t="n">
        <v>9825262</v>
      </c>
      <c r="N184" s="2">
        <f>IF(E184="","Waiting","Calibrated")</f>
        <v/>
      </c>
      <c r="O184" s="2" t="n"/>
      <c r="P184" s="2" t="inlineStr">
        <is>
          <t>ZM06</t>
        </is>
      </c>
      <c r="Q184" s="2" t="n"/>
      <c r="R184" s="28" t="n"/>
      <c r="S184" s="28" t="n"/>
      <c r="T184" s="32" t="n"/>
    </row>
    <row r="185" ht="30" customFormat="1" customHeight="1" s="5">
      <c r="A185" s="17" t="n">
        <v>183</v>
      </c>
      <c r="B185" s="17" t="inlineStr">
        <is>
          <t>KIPP11</t>
        </is>
      </c>
      <c r="C185" s="2" t="inlineStr">
        <is>
          <t>11MBH20CP008</t>
        </is>
      </c>
      <c r="D185" s="14" t="inlineStr">
        <is>
          <t>GT CARR COOLING AIR PT</t>
        </is>
      </c>
      <c r="E185" s="37" t="n">
        <v>46041</v>
      </c>
      <c r="F185" s="103" t="n">
        <v>-137.89</v>
      </c>
      <c r="G185" s="103" t="n">
        <v>137.89</v>
      </c>
      <c r="H185" s="103" t="n">
        <v>0</v>
      </c>
      <c r="I185" s="103" t="n">
        <v>15</v>
      </c>
      <c r="J185" s="4" t="inlineStr">
        <is>
          <t>Bar</t>
        </is>
      </c>
      <c r="K185" s="19" t="inlineStr">
        <is>
          <t>ROSEMOUNT</t>
        </is>
      </c>
      <c r="L185" s="19" t="inlineStr">
        <is>
          <t>3051CG</t>
        </is>
      </c>
      <c r="M185" s="20" t="n">
        <v>9825263</v>
      </c>
      <c r="N185" s="2">
        <f>IF(E185="","Waiting","Calibrated")</f>
        <v/>
      </c>
      <c r="O185" s="2" t="n"/>
      <c r="P185" s="2" t="inlineStr">
        <is>
          <t>ZM06</t>
        </is>
      </c>
      <c r="Q185" s="2" t="n"/>
      <c r="R185" s="28" t="n"/>
      <c r="S185" s="28" t="n"/>
      <c r="T185" s="32" t="n"/>
    </row>
    <row r="186" ht="30" customFormat="1" customHeight="1" s="5">
      <c r="A186" s="17" t="n">
        <v>184</v>
      </c>
      <c r="B186" s="17" t="inlineStr">
        <is>
          <t>KIPP11</t>
        </is>
      </c>
      <c r="C186" s="2" t="inlineStr">
        <is>
          <t>11MBH20CP009</t>
        </is>
      </c>
      <c r="D186" s="14" t="inlineStr">
        <is>
          <t>GT CARR COOLING AIR PT</t>
        </is>
      </c>
      <c r="E186" s="37" t="n">
        <v>46041</v>
      </c>
      <c r="F186" s="103" t="n">
        <v>-137.89</v>
      </c>
      <c r="G186" s="103" t="n">
        <v>137.89</v>
      </c>
      <c r="H186" s="103" t="n">
        <v>0</v>
      </c>
      <c r="I186" s="103" t="n">
        <v>15</v>
      </c>
      <c r="J186" s="4" t="inlineStr">
        <is>
          <t>Bar</t>
        </is>
      </c>
      <c r="K186" s="19" t="inlineStr">
        <is>
          <t>ROSEMOUNT</t>
        </is>
      </c>
      <c r="L186" s="19" t="inlineStr">
        <is>
          <t>3051CG</t>
        </is>
      </c>
      <c r="M186" s="20" t="n">
        <v>9825264</v>
      </c>
      <c r="N186" s="2">
        <f>IF(E186="","Waiting","Calibrated")</f>
        <v/>
      </c>
      <c r="O186" s="2" t="n"/>
      <c r="P186" s="2" t="inlineStr">
        <is>
          <t>ZM06</t>
        </is>
      </c>
      <c r="Q186" s="2" t="n"/>
      <c r="R186" s="28" t="n"/>
      <c r="S186" s="28" t="n"/>
      <c r="T186" s="32" t="n"/>
    </row>
    <row r="187" ht="30" customFormat="1" customHeight="1" s="5">
      <c r="A187" s="17" t="n">
        <v>185</v>
      </c>
      <c r="B187" s="17" t="inlineStr">
        <is>
          <t>KIPP11</t>
        </is>
      </c>
      <c r="C187" s="2" t="inlineStr">
        <is>
          <t>11MBH30CL001</t>
        </is>
      </c>
      <c r="D187" s="14" t="inlineStr">
        <is>
          <t>LP OTC DIFFRENTIAL LEVEL TRANSMITTER</t>
        </is>
      </c>
      <c r="E187" s="37" t="n">
        <v>46041</v>
      </c>
      <c r="F187" s="103" t="n">
        <v>-5</v>
      </c>
      <c r="G187" s="103" t="n">
        <v>5</v>
      </c>
      <c r="H187" s="103" t="n">
        <v>0</v>
      </c>
      <c r="I187" s="103" t="n">
        <v>-2</v>
      </c>
      <c r="J187" s="4" t="inlineStr">
        <is>
          <t>Bar</t>
        </is>
      </c>
      <c r="K187" s="33" t="inlineStr">
        <is>
          <t>YOKOGAWA</t>
        </is>
      </c>
      <c r="L187" s="33" t="inlineStr">
        <is>
          <t>EJA110E</t>
        </is>
      </c>
      <c r="M187" s="20" t="inlineStr">
        <is>
          <t>91S313549</t>
        </is>
      </c>
      <c r="N187" s="2">
        <f>IF(E187="","Waiting","Calibrated")</f>
        <v/>
      </c>
      <c r="O187" s="2" t="n"/>
      <c r="P187" s="2" t="inlineStr">
        <is>
          <t>ZM06</t>
        </is>
      </c>
      <c r="Q187" s="2" t="n"/>
      <c r="R187" s="28" t="n"/>
      <c r="S187" s="28" t="n"/>
      <c r="T187" s="32" t="n"/>
    </row>
    <row r="188" ht="30" customFormat="1" customHeight="1" s="5">
      <c r="A188" s="17" t="n">
        <v>186</v>
      </c>
      <c r="B188" s="17" t="inlineStr">
        <is>
          <t>KIPP11</t>
        </is>
      </c>
      <c r="C188" s="2" t="inlineStr">
        <is>
          <t>11MBH30CL002</t>
        </is>
      </c>
      <c r="D188" s="14" t="inlineStr">
        <is>
          <t>LP OTC DIFFRENTIAL LEVEL TRANSMITTER</t>
        </is>
      </c>
      <c r="E188" s="37" t="n">
        <v>46041</v>
      </c>
      <c r="F188" s="103" t="n">
        <v>-5</v>
      </c>
      <c r="G188" s="103" t="n">
        <v>5</v>
      </c>
      <c r="H188" s="103" t="n">
        <v>0</v>
      </c>
      <c r="I188" s="103" t="n">
        <v>-2</v>
      </c>
      <c r="J188" s="4" t="inlineStr">
        <is>
          <t>Bar</t>
        </is>
      </c>
      <c r="K188" s="33" t="inlineStr">
        <is>
          <t>YOKOGAWA</t>
        </is>
      </c>
      <c r="L188" s="33" t="inlineStr">
        <is>
          <t>EJA110E</t>
        </is>
      </c>
      <c r="M188" s="20" t="inlineStr">
        <is>
          <t>91S313550</t>
        </is>
      </c>
      <c r="N188" s="2">
        <f>IF(E188="","Waiting","Calibrated")</f>
        <v/>
      </c>
      <c r="O188" s="2" t="n"/>
      <c r="P188" s="2" t="inlineStr">
        <is>
          <t>ZM06</t>
        </is>
      </c>
      <c r="Q188" s="2" t="n"/>
      <c r="R188" s="28" t="n"/>
      <c r="S188" s="28" t="n"/>
      <c r="T188" s="32" t="n"/>
    </row>
    <row r="189" ht="30" customFormat="1" customHeight="1" s="5">
      <c r="A189" s="17" t="n">
        <v>187</v>
      </c>
      <c r="B189" s="17" t="inlineStr">
        <is>
          <t>KIPP11</t>
        </is>
      </c>
      <c r="C189" s="2" t="inlineStr">
        <is>
          <t>11MBH30CP003</t>
        </is>
      </c>
      <c r="D189" s="14" t="inlineStr">
        <is>
          <t>P SEV COMBUSTOR PLENUM/KA01</t>
        </is>
      </c>
      <c r="E189" s="37" t="n">
        <v>46041</v>
      </c>
      <c r="F189" s="103" t="n">
        <v>-137.89</v>
      </c>
      <c r="G189" s="103" t="n">
        <v>137.89</v>
      </c>
      <c r="H189" s="103" t="n">
        <v>0</v>
      </c>
      <c r="I189" s="103" t="n">
        <v>25</v>
      </c>
      <c r="J189" s="4" t="inlineStr">
        <is>
          <t>Bar</t>
        </is>
      </c>
      <c r="K189" s="33" t="inlineStr">
        <is>
          <t>ROSEMOUNT</t>
        </is>
      </c>
      <c r="L189" s="33" t="inlineStr">
        <is>
          <t>3051 PT</t>
        </is>
      </c>
      <c r="M189" s="20" t="n">
        <v>9825259</v>
      </c>
      <c r="N189" s="2">
        <f>IF(E189="","Waiting","Calibrated")</f>
        <v/>
      </c>
      <c r="O189" s="2" t="n"/>
      <c r="P189" s="2" t="inlineStr">
        <is>
          <t>ZM06</t>
        </is>
      </c>
      <c r="Q189" s="2" t="n"/>
      <c r="R189" s="28" t="n"/>
      <c r="S189" s="28" t="n"/>
      <c r="T189" s="32" t="n"/>
    </row>
    <row r="190" ht="30" customFormat="1" customHeight="1" s="5">
      <c r="A190" s="17" t="n">
        <v>188</v>
      </c>
      <c r="B190" s="17" t="inlineStr">
        <is>
          <t>KIPP11</t>
        </is>
      </c>
      <c r="C190" s="2" t="inlineStr">
        <is>
          <t>11MBH30CP004</t>
        </is>
      </c>
      <c r="D190" s="14" t="inlineStr">
        <is>
          <t>P SEV COMBUSTOR PLENUM/KA01</t>
        </is>
      </c>
      <c r="E190" s="37" t="n">
        <v>46041</v>
      </c>
      <c r="F190" s="103" t="n">
        <v>-137.89</v>
      </c>
      <c r="G190" s="103" t="n">
        <v>137.89</v>
      </c>
      <c r="H190" s="103" t="n">
        <v>0</v>
      </c>
      <c r="I190" s="103" t="n">
        <v>25</v>
      </c>
      <c r="J190" s="4" t="inlineStr">
        <is>
          <t>Bar</t>
        </is>
      </c>
      <c r="K190" s="33" t="inlineStr">
        <is>
          <t>ROSEMOUNT</t>
        </is>
      </c>
      <c r="L190" s="33" t="inlineStr">
        <is>
          <t>3051 PT</t>
        </is>
      </c>
      <c r="M190" s="20" t="n">
        <v>9825260</v>
      </c>
      <c r="N190" s="2">
        <f>IF(E190="","Waiting","Calibrated")</f>
        <v/>
      </c>
      <c r="O190" s="2" t="n"/>
      <c r="P190" s="2" t="inlineStr">
        <is>
          <t>ZM06</t>
        </is>
      </c>
      <c r="Q190" s="2" t="n"/>
      <c r="R190" s="28" t="n"/>
      <c r="S190" s="28" t="n"/>
      <c r="T190" s="32" t="n"/>
    </row>
    <row r="191" ht="30" customFormat="1" customHeight="1" s="5">
      <c r="A191" s="17" t="n">
        <v>189</v>
      </c>
      <c r="B191" s="17" t="inlineStr">
        <is>
          <t>KIPP11</t>
        </is>
      </c>
      <c r="C191" s="2" t="inlineStr">
        <is>
          <t>11MBH30CP005</t>
        </is>
      </c>
      <c r="D191" s="14" t="inlineStr">
        <is>
          <t>P SEV COMBUSTOR PLENUM/KA01</t>
        </is>
      </c>
      <c r="E191" s="37" t="n">
        <v>46041</v>
      </c>
      <c r="F191" s="103" t="n">
        <v>-137.89</v>
      </c>
      <c r="G191" s="103" t="n">
        <v>137.89</v>
      </c>
      <c r="H191" s="103" t="n">
        <v>0</v>
      </c>
      <c r="I191" s="103" t="n">
        <v>25</v>
      </c>
      <c r="J191" s="4" t="inlineStr">
        <is>
          <t>Bar</t>
        </is>
      </c>
      <c r="K191" s="33" t="inlineStr">
        <is>
          <t>ROSEMOUNT</t>
        </is>
      </c>
      <c r="L191" s="19" t="n">
        <v>3051</v>
      </c>
      <c r="M191" s="20" t="n">
        <v>9825261</v>
      </c>
      <c r="N191" s="2">
        <f>IF(E191="","Waiting","Calibrated")</f>
        <v/>
      </c>
      <c r="O191" s="2" t="n"/>
      <c r="P191" s="2" t="inlineStr">
        <is>
          <t>ZM06</t>
        </is>
      </c>
      <c r="Q191" s="2" t="n"/>
      <c r="R191" s="28" t="n"/>
      <c r="S191" s="28" t="n"/>
      <c r="T191" s="32" t="n"/>
    </row>
    <row r="192" ht="30" customFormat="1" customHeight="1" s="5">
      <c r="A192" s="17" t="n">
        <v>190</v>
      </c>
      <c r="B192" s="17" t="inlineStr">
        <is>
          <t>KIPP11</t>
        </is>
      </c>
      <c r="C192" s="2" t="inlineStr">
        <is>
          <t>11MBH30CP015</t>
        </is>
      </c>
      <c r="D192" s="14" t="inlineStr">
        <is>
          <t>PRESSURE DIFF ACROSS LP AIR COOLER</t>
        </is>
      </c>
      <c r="E192" s="37" t="n">
        <v>46041</v>
      </c>
      <c r="F192" s="103" t="n">
        <v>-20.684</v>
      </c>
      <c r="G192" s="103" t="n">
        <v>20.684</v>
      </c>
      <c r="H192" s="103" t="n">
        <v>0</v>
      </c>
      <c r="I192" s="103" t="n">
        <v>4</v>
      </c>
      <c r="J192" s="4" t="inlineStr">
        <is>
          <t>Bar</t>
        </is>
      </c>
      <c r="K192" s="33" t="inlineStr">
        <is>
          <t>ROSEMOUNT</t>
        </is>
      </c>
      <c r="L192" s="33" t="inlineStr">
        <is>
          <t>3051 PT</t>
        </is>
      </c>
      <c r="M192" s="20" t="n">
        <v>9824811</v>
      </c>
      <c r="N192" s="2">
        <f>IF(E192="","Waiting","Calibrated")</f>
        <v/>
      </c>
      <c r="O192" s="2" t="n"/>
      <c r="P192" s="2" t="inlineStr">
        <is>
          <t>ZM06</t>
        </is>
      </c>
      <c r="Q192" s="2" t="n"/>
      <c r="R192" s="28" t="n"/>
      <c r="S192" s="28" t="n"/>
      <c r="T192" s="32" t="n"/>
    </row>
    <row r="193" ht="30" customFormat="1" customHeight="1" s="5">
      <c r="A193" s="17" t="n">
        <v>191</v>
      </c>
      <c r="B193" s="17" t="inlineStr">
        <is>
          <t>KIPP11</t>
        </is>
      </c>
      <c r="C193" s="2" t="inlineStr">
        <is>
          <t>11MBH30CP020</t>
        </is>
      </c>
      <c r="D193" s="14" t="inlineStr">
        <is>
          <t>P QUENSCH WATER TO LP COOLER</t>
        </is>
      </c>
      <c r="E193" s="37" t="n">
        <v>46042</v>
      </c>
      <c r="F193" s="103" t="n">
        <v>-137.89</v>
      </c>
      <c r="G193" s="103" t="n">
        <v>137.89</v>
      </c>
      <c r="H193" s="103" t="n">
        <v>0</v>
      </c>
      <c r="I193" s="103" t="n">
        <v>30</v>
      </c>
      <c r="J193" s="4" t="inlineStr">
        <is>
          <t>Bar</t>
        </is>
      </c>
      <c r="K193" s="33" t="inlineStr">
        <is>
          <t>ROSEMOUNT</t>
        </is>
      </c>
      <c r="L193" s="33" t="inlineStr">
        <is>
          <t>3051 PT</t>
        </is>
      </c>
      <c r="M193" s="20" t="n">
        <v>9825287</v>
      </c>
      <c r="N193" s="2">
        <f>IF(E193="","Waiting","Calibrated")</f>
        <v/>
      </c>
      <c r="O193" s="2" t="n"/>
      <c r="P193" s="2" t="inlineStr">
        <is>
          <t>ZM06</t>
        </is>
      </c>
      <c r="Q193" s="2" t="n"/>
      <c r="R193" s="28" t="n"/>
      <c r="S193" s="28" t="n"/>
      <c r="T193" s="32" t="n"/>
    </row>
    <row r="194" ht="30" customFormat="1" customHeight="1" s="5">
      <c r="A194" s="17" t="n">
        <v>192</v>
      </c>
      <c r="B194" s="17" t="inlineStr">
        <is>
          <t>KIPP11</t>
        </is>
      </c>
      <c r="C194" s="2" t="inlineStr">
        <is>
          <t>11MBH30CP021</t>
        </is>
      </c>
      <c r="D194" s="14" t="inlineStr">
        <is>
          <t>GT SEV COMBUSTOR LINER/KA01 PDT</t>
        </is>
      </c>
      <c r="E194" s="37" t="n">
        <v>46042</v>
      </c>
      <c r="F194" s="103" t="n">
        <v>-20.684</v>
      </c>
      <c r="G194" s="103" t="n">
        <v>20.684</v>
      </c>
      <c r="H194" s="103" t="n">
        <v>0</v>
      </c>
      <c r="I194" s="103" t="n">
        <v>5</v>
      </c>
      <c r="J194" s="4" t="inlineStr">
        <is>
          <t>Bar</t>
        </is>
      </c>
      <c r="K194" s="19" t="inlineStr">
        <is>
          <t>ROSEMOUNT</t>
        </is>
      </c>
      <c r="L194" s="19" t="inlineStr">
        <is>
          <t>3051CD</t>
        </is>
      </c>
      <c r="M194" s="20" t="n">
        <v>9825276</v>
      </c>
      <c r="N194" s="2">
        <f>IF(E194="","Waiting","Calibrated")</f>
        <v/>
      </c>
      <c r="O194" s="2" t="n"/>
      <c r="P194" s="2" t="inlineStr">
        <is>
          <t>ZM06</t>
        </is>
      </c>
      <c r="Q194" s="2" t="n"/>
      <c r="R194" s="28" t="n"/>
      <c r="S194" s="28" t="n"/>
      <c r="T194" s="32" t="n"/>
    </row>
    <row r="195" ht="30" customFormat="1" customHeight="1" s="5">
      <c r="A195" s="17" t="n">
        <v>193</v>
      </c>
      <c r="B195" s="17" t="inlineStr">
        <is>
          <t>KIPP11</t>
        </is>
      </c>
      <c r="C195" s="2" t="inlineStr">
        <is>
          <t>11MBH30CP022</t>
        </is>
      </c>
      <c r="D195" s="14" t="inlineStr">
        <is>
          <t>P DIFF SEV COMBUSTOR LINER/KA01</t>
        </is>
      </c>
      <c r="E195" s="37" t="n">
        <v>46042</v>
      </c>
      <c r="F195" s="103" t="n">
        <v>-20.684</v>
      </c>
      <c r="G195" s="103" t="n">
        <v>20.684</v>
      </c>
      <c r="H195" s="103" t="n">
        <v>0</v>
      </c>
      <c r="I195" s="103" t="n">
        <v>5</v>
      </c>
      <c r="J195" s="4" t="inlineStr">
        <is>
          <t>Bar</t>
        </is>
      </c>
      <c r="K195" s="19" t="inlineStr">
        <is>
          <t>ROSEMOUNT</t>
        </is>
      </c>
      <c r="L195" s="19" t="inlineStr">
        <is>
          <t>3051CD</t>
        </is>
      </c>
      <c r="M195" s="20" t="n">
        <v>9825274</v>
      </c>
      <c r="N195" s="2">
        <f>IF(E195="","Waiting","Calibrated")</f>
        <v/>
      </c>
      <c r="O195" s="2" t="n"/>
      <c r="P195" s="2" t="inlineStr">
        <is>
          <t>ZM06</t>
        </is>
      </c>
      <c r="Q195" s="2" t="n"/>
      <c r="R195" s="28" t="n"/>
      <c r="S195" s="28" t="n"/>
      <c r="T195" s="32" t="n"/>
    </row>
    <row r="196" ht="30" customFormat="1" customHeight="1" s="5">
      <c r="A196" s="17" t="n">
        <v>194</v>
      </c>
      <c r="B196" s="17" t="inlineStr">
        <is>
          <t>KIPP11</t>
        </is>
      </c>
      <c r="C196" s="2" t="inlineStr">
        <is>
          <t>11MBH30CP023</t>
        </is>
      </c>
      <c r="D196" s="14" t="inlineStr">
        <is>
          <t>P DIFF SEV COMBUSTOR LINER/KA01</t>
        </is>
      </c>
      <c r="E196" s="37" t="n">
        <v>46042</v>
      </c>
      <c r="F196" s="103" t="n">
        <v>-20.684</v>
      </c>
      <c r="G196" s="103" t="n">
        <v>20.684</v>
      </c>
      <c r="H196" s="103" t="n">
        <v>0</v>
      </c>
      <c r="I196" s="103" t="n">
        <v>5</v>
      </c>
      <c r="J196" s="4" t="inlineStr">
        <is>
          <t>Bar</t>
        </is>
      </c>
      <c r="K196" s="19" t="inlineStr">
        <is>
          <t>ROSEMOUNT</t>
        </is>
      </c>
      <c r="L196" s="19" t="inlineStr">
        <is>
          <t>3051CD</t>
        </is>
      </c>
      <c r="M196" s="20" t="n">
        <v>9825275</v>
      </c>
      <c r="N196" s="2">
        <f>IF(E196="","Waiting","Calibrated")</f>
        <v/>
      </c>
      <c r="O196" s="2" t="n"/>
      <c r="P196" s="2" t="inlineStr">
        <is>
          <t>ZM06</t>
        </is>
      </c>
      <c r="Q196" s="2" t="n"/>
      <c r="R196" s="28" t="n"/>
      <c r="S196" s="28" t="n"/>
      <c r="T196" s="32" t="n"/>
    </row>
    <row r="197" ht="30" customFormat="1" customHeight="1" s="5">
      <c r="A197" s="17" t="n">
        <v>195</v>
      </c>
      <c r="B197" s="17" t="inlineStr">
        <is>
          <t>KIPP11</t>
        </is>
      </c>
      <c r="C197" s="2" t="inlineStr">
        <is>
          <t>11MBH40CL001</t>
        </is>
      </c>
      <c r="D197" s="14" t="inlineStr">
        <is>
          <t>HP OTC DIFFRENTIAL LEVEL TRANSMITTER</t>
        </is>
      </c>
      <c r="E197" s="37" t="n">
        <v>46042</v>
      </c>
      <c r="F197" s="103" t="n">
        <v>-5</v>
      </c>
      <c r="G197" s="103" t="n">
        <v>5</v>
      </c>
      <c r="H197" s="103" t="n">
        <v>0</v>
      </c>
      <c r="I197" s="103" t="n">
        <v>-2</v>
      </c>
      <c r="J197" s="4" t="inlineStr">
        <is>
          <t>Bar</t>
        </is>
      </c>
      <c r="K197" s="33" t="inlineStr">
        <is>
          <t>YOKOGAWA</t>
        </is>
      </c>
      <c r="L197" s="33" t="inlineStr">
        <is>
          <t>EJA110E</t>
        </is>
      </c>
      <c r="M197" s="20" t="inlineStr">
        <is>
          <t>91S313547</t>
        </is>
      </c>
      <c r="N197" s="2">
        <f>IF(E197="","Waiting","Calibrated")</f>
        <v/>
      </c>
      <c r="O197" s="2" t="n"/>
      <c r="P197" s="2" t="inlineStr">
        <is>
          <t>ZM06</t>
        </is>
      </c>
      <c r="Q197" s="2" t="n"/>
      <c r="R197" s="28" t="n"/>
      <c r="S197" s="28" t="n"/>
      <c r="T197" s="32" t="n"/>
    </row>
    <row r="198" ht="30" customFormat="1" customHeight="1" s="5">
      <c r="A198" s="17" t="n">
        <v>196</v>
      </c>
      <c r="B198" s="17" t="inlineStr">
        <is>
          <t>KIPP11</t>
        </is>
      </c>
      <c r="C198" s="2" t="inlineStr">
        <is>
          <t>11MBH40CL002</t>
        </is>
      </c>
      <c r="D198" s="14" t="inlineStr">
        <is>
          <t>HP OTC DIFFRENTIAL LEVEL TRANSMITTER</t>
        </is>
      </c>
      <c r="E198" s="37" t="n">
        <v>46042</v>
      </c>
      <c r="F198" s="103" t="n">
        <v>-5</v>
      </c>
      <c r="G198" s="103" t="n">
        <v>5</v>
      </c>
      <c r="H198" s="103" t="n">
        <v>0</v>
      </c>
      <c r="I198" s="103" t="n">
        <v>-2</v>
      </c>
      <c r="J198" s="4" t="inlineStr">
        <is>
          <t>Bar</t>
        </is>
      </c>
      <c r="K198" s="33" t="inlineStr">
        <is>
          <t>YOKOGAWA</t>
        </is>
      </c>
      <c r="L198" s="33" t="inlineStr">
        <is>
          <t>EJA110E</t>
        </is>
      </c>
      <c r="M198" s="20" t="inlineStr">
        <is>
          <t>91S313548</t>
        </is>
      </c>
      <c r="N198" s="2">
        <f>IF(E198="","Waiting","Calibrated")</f>
        <v/>
      </c>
      <c r="O198" s="2" t="n"/>
      <c r="P198" s="2" t="inlineStr">
        <is>
          <t>ZM06</t>
        </is>
      </c>
      <c r="Q198" s="2" t="n"/>
      <c r="R198" s="28" t="n"/>
      <c r="S198" s="28" t="n"/>
      <c r="T198" s="32" t="n"/>
    </row>
    <row r="199" ht="30" customFormat="1" customHeight="1" s="5">
      <c r="A199" s="17" t="n">
        <v>197</v>
      </c>
      <c r="B199" s="17" t="inlineStr">
        <is>
          <t>KIPP11</t>
        </is>
      </c>
      <c r="C199" s="2" t="inlineStr">
        <is>
          <t>11MBH40CP015</t>
        </is>
      </c>
      <c r="D199" s="14" t="inlineStr">
        <is>
          <t>DP HP OTC</t>
        </is>
      </c>
      <c r="E199" s="37" t="n">
        <v>46042</v>
      </c>
      <c r="F199" s="103" t="n">
        <v>-621.6</v>
      </c>
      <c r="G199" s="103" t="n">
        <v>621.6</v>
      </c>
      <c r="H199" s="103" t="n">
        <v>0</v>
      </c>
      <c r="I199" s="103" t="n">
        <v>500</v>
      </c>
      <c r="J199" s="4" t="inlineStr">
        <is>
          <t>mBar</t>
        </is>
      </c>
      <c r="K199" s="33" t="inlineStr">
        <is>
          <t>ROSEMOUNT</t>
        </is>
      </c>
      <c r="L199" s="33" t="inlineStr">
        <is>
          <t>3051 PT</t>
        </is>
      </c>
      <c r="M199" s="20" t="n">
        <v>9825290</v>
      </c>
      <c r="N199" s="2">
        <f>IF(E199="","Waiting","Calibrated")</f>
        <v/>
      </c>
      <c r="O199" s="2" t="n"/>
      <c r="P199" s="2" t="inlineStr">
        <is>
          <t>ZM06</t>
        </is>
      </c>
      <c r="Q199" s="2" t="n"/>
      <c r="R199" s="28" t="n"/>
      <c r="S199" s="28" t="n"/>
      <c r="T199" s="32" t="n"/>
    </row>
    <row r="200" ht="30" customFormat="1" customHeight="1" s="5">
      <c r="A200" s="17" t="n">
        <v>198</v>
      </c>
      <c r="B200" s="17" t="inlineStr">
        <is>
          <t>KIPP11</t>
        </is>
      </c>
      <c r="C200" s="2" t="inlineStr">
        <is>
          <t>11MBH41CP102</t>
        </is>
      </c>
      <c r="D200" s="14" t="inlineStr">
        <is>
          <t>PRESSURE AFTER BLOW-OFF BYPASS VALVE</t>
        </is>
      </c>
      <c r="E200" s="37" t="n">
        <v>46042</v>
      </c>
      <c r="F200" s="103" t="n">
        <v>-137.89</v>
      </c>
      <c r="G200" s="103" t="n">
        <v>137.89</v>
      </c>
      <c r="H200" s="103" t="n">
        <v>0</v>
      </c>
      <c r="I200" s="103" t="n">
        <v>40</v>
      </c>
      <c r="J200" s="4" t="inlineStr">
        <is>
          <t>Bar</t>
        </is>
      </c>
      <c r="K200" s="33" t="inlineStr">
        <is>
          <t>ROSEMOUNT</t>
        </is>
      </c>
      <c r="L200" s="33" t="inlineStr">
        <is>
          <t>3051CD</t>
        </is>
      </c>
      <c r="M200" s="20" t="n">
        <v>9855800</v>
      </c>
      <c r="N200" s="2">
        <f>IF(E200="","Waiting","Calibrated")</f>
        <v/>
      </c>
      <c r="O200" s="2" t="n"/>
      <c r="P200" s="2" t="inlineStr">
        <is>
          <t>ZM06</t>
        </is>
      </c>
      <c r="Q200" s="2" t="n"/>
      <c r="R200" s="28" t="n"/>
      <c r="S200" s="28" t="n"/>
      <c r="T200" s="32" t="n"/>
    </row>
    <row r="201" ht="30" customFormat="1" customHeight="1" s="5">
      <c r="A201" s="17" t="n">
        <v>199</v>
      </c>
      <c r="B201" s="17" t="inlineStr">
        <is>
          <t>KIPP11</t>
        </is>
      </c>
      <c r="C201" s="2" t="inlineStr">
        <is>
          <t>11MBH41CP103</t>
        </is>
      </c>
      <c r="D201" s="14" t="inlineStr">
        <is>
          <t>DP FLOW MEASUREMENT</t>
        </is>
      </c>
      <c r="E201" s="37" t="n">
        <v>46042</v>
      </c>
      <c r="F201" s="103" t="n">
        <v>-20.684</v>
      </c>
      <c r="G201" s="103" t="n">
        <v>20.684</v>
      </c>
      <c r="H201" s="103" t="n">
        <v>0</v>
      </c>
      <c r="I201" s="103" t="n">
        <v>10</v>
      </c>
      <c r="J201" s="4" t="inlineStr">
        <is>
          <t>Bar</t>
        </is>
      </c>
      <c r="K201" s="33" t="inlineStr">
        <is>
          <t>ROSEMOUNT</t>
        </is>
      </c>
      <c r="L201" s="33" t="inlineStr">
        <is>
          <t>3051CD</t>
        </is>
      </c>
      <c r="M201" s="20" t="n">
        <v>9855803</v>
      </c>
      <c r="N201" s="2">
        <f>IF(E201="","Waiting","Calibrated")</f>
        <v/>
      </c>
      <c r="O201" s="2" t="n"/>
      <c r="P201" s="2" t="inlineStr">
        <is>
          <t>ZM06</t>
        </is>
      </c>
      <c r="Q201" s="2" t="n"/>
      <c r="R201" s="28" t="n"/>
      <c r="S201" s="28" t="n"/>
      <c r="T201" s="32" t="n"/>
    </row>
    <row r="202" ht="30" customFormat="1" customHeight="1" s="5">
      <c r="A202" s="17" t="n">
        <v>200</v>
      </c>
      <c r="B202" s="17" t="inlineStr">
        <is>
          <t>KIPP11</t>
        </is>
      </c>
      <c r="C202" s="2" t="inlineStr">
        <is>
          <t>11MBH52CP001</t>
        </is>
      </c>
      <c r="D202" s="14" t="inlineStr">
        <is>
          <t>EXHAUST BEARING FAN 1 PDI</t>
        </is>
      </c>
      <c r="E202" s="37" t="n">
        <v>46042</v>
      </c>
      <c r="F202" s="103" t="n">
        <v>-621.6</v>
      </c>
      <c r="G202" s="103" t="n">
        <v>621.6</v>
      </c>
      <c r="H202" s="103" t="n">
        <v>0</v>
      </c>
      <c r="I202" s="103" t="n">
        <v>400</v>
      </c>
      <c r="J202" s="4" t="inlineStr">
        <is>
          <t>mBar</t>
        </is>
      </c>
      <c r="K202" s="33" t="inlineStr">
        <is>
          <t>ROSEMOUNT</t>
        </is>
      </c>
      <c r="L202" s="33" t="inlineStr">
        <is>
          <t>3051 PT</t>
        </is>
      </c>
      <c r="M202" s="20" t="n">
        <v>9891371</v>
      </c>
      <c r="N202" s="2">
        <f>IF(E202="","Waiting","Calibrated")</f>
        <v/>
      </c>
      <c r="O202" s="2" t="n"/>
      <c r="P202" s="2" t="inlineStr">
        <is>
          <t>ZM06</t>
        </is>
      </c>
      <c r="Q202" s="2" t="n"/>
      <c r="R202" s="28" t="n"/>
      <c r="S202" s="28" t="n"/>
      <c r="T202" s="32" t="n"/>
    </row>
    <row r="203" ht="30" customFormat="1" customHeight="1" s="5">
      <c r="A203" s="17" t="n">
        <v>201</v>
      </c>
      <c r="B203" s="17" t="inlineStr">
        <is>
          <t>KIPP11</t>
        </is>
      </c>
      <c r="C203" s="2" t="inlineStr">
        <is>
          <t>11MBH52CP002</t>
        </is>
      </c>
      <c r="D203" s="14" t="inlineStr">
        <is>
          <t>EXHAUST BEARING FAN 2 PDI</t>
        </is>
      </c>
      <c r="E203" s="37" t="n">
        <v>46042</v>
      </c>
      <c r="F203" s="103" t="n">
        <v>-621.6</v>
      </c>
      <c r="G203" s="103" t="n">
        <v>621.6</v>
      </c>
      <c r="H203" s="103" t="n">
        <v>0</v>
      </c>
      <c r="I203" s="103" t="n">
        <v>400</v>
      </c>
      <c r="J203" s="4" t="inlineStr">
        <is>
          <t>mBar</t>
        </is>
      </c>
      <c r="K203" s="33" t="inlineStr">
        <is>
          <t>ROSEMOUNT</t>
        </is>
      </c>
      <c r="L203" s="33" t="inlineStr">
        <is>
          <t>3051 PT</t>
        </is>
      </c>
      <c r="M203" s="20" t="n">
        <v>9891372</v>
      </c>
      <c r="N203" s="2">
        <f>IF(E203="","Waiting","Calibrated")</f>
        <v/>
      </c>
      <c r="O203" s="2" t="n"/>
      <c r="P203" s="2" t="inlineStr">
        <is>
          <t>ZM06</t>
        </is>
      </c>
      <c r="Q203" s="2" t="n"/>
      <c r="R203" s="28" t="n"/>
      <c r="S203" s="28" t="n"/>
      <c r="T203" s="32" t="n"/>
    </row>
    <row r="204" ht="30" customFormat="1" customHeight="1" s="5">
      <c r="A204" s="17" t="n">
        <v>202</v>
      </c>
      <c r="B204" s="17" t="inlineStr">
        <is>
          <t>KIPP11</t>
        </is>
      </c>
      <c r="C204" s="2" t="inlineStr">
        <is>
          <t>11MBH60CP001</t>
        </is>
      </c>
      <c r="D204" s="14" t="inlineStr">
        <is>
          <t>DP CMAS FAN 1</t>
        </is>
      </c>
      <c r="E204" s="37" t="n">
        <v>46042</v>
      </c>
      <c r="F204" s="103" t="n">
        <v>-621.6</v>
      </c>
      <c r="G204" s="103" t="n">
        <v>621.6</v>
      </c>
      <c r="H204" s="103" t="n">
        <v>0</v>
      </c>
      <c r="I204" s="103" t="n">
        <v>50</v>
      </c>
      <c r="J204" s="4" t="inlineStr">
        <is>
          <t>mBar</t>
        </is>
      </c>
      <c r="K204" s="33" t="inlineStr">
        <is>
          <t>ROSEMOUNT</t>
        </is>
      </c>
      <c r="L204" s="33" t="inlineStr">
        <is>
          <t>3051 PT</t>
        </is>
      </c>
      <c r="M204" s="20" t="n">
        <v>9891369</v>
      </c>
      <c r="N204" s="2">
        <f>IF(E204="","Waiting","Calibrated")</f>
        <v/>
      </c>
      <c r="O204" s="2" t="n"/>
      <c r="P204" s="2" t="n"/>
      <c r="Q204" s="2" t="n"/>
      <c r="R204" s="28" t="n"/>
      <c r="S204" s="28" t="n"/>
      <c r="T204" s="32" t="n"/>
    </row>
    <row r="205" ht="30" customFormat="1" customHeight="1" s="5">
      <c r="A205" s="17" t="n">
        <v>203</v>
      </c>
      <c r="B205" s="17" t="inlineStr">
        <is>
          <t>KIPP11</t>
        </is>
      </c>
      <c r="C205" s="2" t="inlineStr">
        <is>
          <t>11MBH60CP002</t>
        </is>
      </c>
      <c r="D205" s="14" t="inlineStr">
        <is>
          <t>DP CMAS FAN 2</t>
        </is>
      </c>
      <c r="E205" s="37" t="n">
        <v>46042</v>
      </c>
      <c r="F205" s="103" t="n">
        <v>-621.6</v>
      </c>
      <c r="G205" s="103" t="n">
        <v>621.6</v>
      </c>
      <c r="H205" s="103" t="n">
        <v>0</v>
      </c>
      <c r="I205" s="103" t="n">
        <v>50</v>
      </c>
      <c r="J205" s="4" t="inlineStr">
        <is>
          <t>mBar</t>
        </is>
      </c>
      <c r="K205" s="33" t="inlineStr">
        <is>
          <t>ROSEMOUNT</t>
        </is>
      </c>
      <c r="L205" s="33" t="inlineStr">
        <is>
          <t>3051 PT</t>
        </is>
      </c>
      <c r="M205" s="20" t="n">
        <v>9891370</v>
      </c>
      <c r="N205" s="2">
        <f>IF(E205="","Waiting","Calibrated")</f>
        <v/>
      </c>
      <c r="O205" s="2" t="n"/>
      <c r="P205" s="2" t="inlineStr">
        <is>
          <t>ZM06</t>
        </is>
      </c>
      <c r="Q205" s="2" t="n"/>
      <c r="R205" s="28" t="n"/>
      <c r="S205" s="28" t="n"/>
      <c r="T205" s="32" t="n"/>
    </row>
    <row r="206" ht="30" customFormat="1" customHeight="1" s="5">
      <c r="A206" s="17" t="n">
        <v>204</v>
      </c>
      <c r="B206" s="17" t="inlineStr">
        <is>
          <t>KIPP11</t>
        </is>
      </c>
      <c r="C206" s="2" t="inlineStr">
        <is>
          <t>11MBH80CP011</t>
        </is>
      </c>
      <c r="D206" s="14" t="inlineStr">
        <is>
          <t>DIFFERENTIAL PRESSURE EV COMBUSTOR</t>
        </is>
      </c>
      <c r="E206" s="37" t="n">
        <v>46042</v>
      </c>
      <c r="F206" s="103" t="n">
        <v>-2.4864</v>
      </c>
      <c r="G206" s="103" t="n">
        <v>2.4864</v>
      </c>
      <c r="H206" s="103" t="n">
        <v>0</v>
      </c>
      <c r="I206" s="103" t="n">
        <v>2.5</v>
      </c>
      <c r="J206" s="4" t="inlineStr">
        <is>
          <t>Bar</t>
        </is>
      </c>
      <c r="K206" s="33" t="inlineStr">
        <is>
          <t>ROSEMOUNT</t>
        </is>
      </c>
      <c r="L206" s="33" t="inlineStr">
        <is>
          <t>3051 PT</t>
        </is>
      </c>
      <c r="M206" s="20" t="n">
        <v>9825280</v>
      </c>
      <c r="N206" s="2">
        <f>IF(E206="","Waiting","Calibrated")</f>
        <v/>
      </c>
      <c r="O206" s="2" t="n"/>
      <c r="P206" s="2" t="inlineStr">
        <is>
          <t>ZM06</t>
        </is>
      </c>
      <c r="Q206" s="2" t="n"/>
      <c r="R206" s="28" t="n"/>
      <c r="S206" s="28" t="n"/>
      <c r="T206" s="32" t="n"/>
    </row>
    <row r="207" ht="30" customFormat="1" customHeight="1" s="5">
      <c r="A207" s="17" t="n">
        <v>205</v>
      </c>
      <c r="B207" s="17" t="inlineStr">
        <is>
          <t>KIPP11</t>
        </is>
      </c>
      <c r="C207" s="2" t="inlineStr">
        <is>
          <t>11MBH80CP012</t>
        </is>
      </c>
      <c r="D207" s="14" t="inlineStr">
        <is>
          <t>DIFFERENTIAL PRESSURE EV COMBUSTOR</t>
        </is>
      </c>
      <c r="E207" s="37" t="n">
        <v>46042</v>
      </c>
      <c r="F207" s="103" t="n">
        <v>-2.4864</v>
      </c>
      <c r="G207" s="103" t="n">
        <v>2.4864</v>
      </c>
      <c r="H207" s="103" t="n">
        <v>0</v>
      </c>
      <c r="I207" s="103" t="n">
        <v>2.5</v>
      </c>
      <c r="J207" s="4" t="inlineStr">
        <is>
          <t>Bar</t>
        </is>
      </c>
      <c r="K207" s="33" t="inlineStr">
        <is>
          <t>ROSEMOUNT</t>
        </is>
      </c>
      <c r="L207" s="33" t="inlineStr">
        <is>
          <t>3051 PT</t>
        </is>
      </c>
      <c r="M207" s="20" t="n">
        <v>9825281</v>
      </c>
      <c r="N207" s="2">
        <f>IF(E207="","Waiting","Calibrated")</f>
        <v/>
      </c>
      <c r="O207" s="2" t="n"/>
      <c r="P207" s="2" t="inlineStr">
        <is>
          <t>ZM06</t>
        </is>
      </c>
      <c r="Q207" s="2" t="n"/>
      <c r="R207" s="28" t="n"/>
      <c r="S207" s="28" t="n"/>
      <c r="T207" s="32" t="n"/>
    </row>
    <row r="208" ht="30" customFormat="1" customHeight="1" s="5">
      <c r="A208" s="17" t="n">
        <v>206</v>
      </c>
      <c r="B208" s="17" t="inlineStr">
        <is>
          <t>KIPP11</t>
        </is>
      </c>
      <c r="C208" s="2" t="inlineStr">
        <is>
          <t>11MBH90CP001</t>
        </is>
      </c>
      <c r="D208" s="14" t="inlineStr">
        <is>
          <t>PRESSURE BEFORE ANTI-ICING CONTROL VALVE</t>
        </is>
      </c>
      <c r="E208" s="37" t="n">
        <v>46043</v>
      </c>
      <c r="F208" s="103" t="n">
        <v>-137.89</v>
      </c>
      <c r="G208" s="103" t="n">
        <v>137.89</v>
      </c>
      <c r="H208" s="103" t="n">
        <v>0</v>
      </c>
      <c r="I208" s="103" t="n">
        <v>40</v>
      </c>
      <c r="J208" s="4" t="inlineStr">
        <is>
          <t>Bar</t>
        </is>
      </c>
      <c r="K208" s="33" t="inlineStr">
        <is>
          <t>ROSEMOUNT</t>
        </is>
      </c>
      <c r="L208" s="33" t="inlineStr">
        <is>
          <t>3051 PT</t>
        </is>
      </c>
      <c r="M208" s="20" t="n">
        <v>9914214</v>
      </c>
      <c r="N208" s="2">
        <f>IF(E208="","Waiting","Calibrated")</f>
        <v/>
      </c>
      <c r="O208" s="2" t="n"/>
      <c r="P208" s="2" t="inlineStr">
        <is>
          <t>ZM06</t>
        </is>
      </c>
      <c r="Q208" s="2" t="n"/>
      <c r="R208" s="28" t="n"/>
      <c r="S208" s="28" t="n"/>
      <c r="T208" s="32" t="n"/>
    </row>
    <row r="209" ht="30" customFormat="1" customHeight="1" s="5">
      <c r="A209" s="17" t="n">
        <v>207</v>
      </c>
      <c r="B209" s="17" t="inlineStr">
        <is>
          <t>KIPP11</t>
        </is>
      </c>
      <c r="C209" s="2" t="inlineStr">
        <is>
          <t>11MBH90CP004</t>
        </is>
      </c>
      <c r="D209" s="14" t="inlineStr">
        <is>
          <t>DP OVER ANTI ICING CV</t>
        </is>
      </c>
      <c r="E209" s="37" t="n">
        <v>46043</v>
      </c>
      <c r="F209" s="103" t="n">
        <v>-137.89</v>
      </c>
      <c r="G209" s="103" t="n">
        <v>137.89</v>
      </c>
      <c r="H209" s="103" t="n">
        <v>0</v>
      </c>
      <c r="I209" s="103" t="n">
        <v>40</v>
      </c>
      <c r="J209" s="4" t="inlineStr">
        <is>
          <t>Bar</t>
        </is>
      </c>
      <c r="K209" s="33" t="inlineStr">
        <is>
          <t>ROSEMOUNT</t>
        </is>
      </c>
      <c r="L209" s="33" t="inlineStr">
        <is>
          <t>3051 PT</t>
        </is>
      </c>
      <c r="M209" s="20" t="n">
        <v>9914216</v>
      </c>
      <c r="N209" s="2">
        <f>IF(E209="","Waiting","Calibrated")</f>
        <v/>
      </c>
      <c r="O209" s="2" t="n"/>
      <c r="P209" s="2" t="inlineStr">
        <is>
          <t>ZM06</t>
        </is>
      </c>
      <c r="Q209" s="2" t="n"/>
      <c r="R209" s="28" t="n"/>
      <c r="S209" s="28" t="n"/>
      <c r="T209" s="32" t="n"/>
    </row>
    <row r="210" ht="30" customFormat="1" customHeight="1" s="5">
      <c r="A210" s="17" t="n">
        <v>208</v>
      </c>
      <c r="B210" s="17" t="inlineStr">
        <is>
          <t>KIPP11</t>
        </is>
      </c>
      <c r="C210" s="2" t="inlineStr">
        <is>
          <t>11MBL01CP011</t>
        </is>
      </c>
      <c r="D210" s="14" t="inlineStr">
        <is>
          <t>DP AIR INTK FLTR TOT</t>
        </is>
      </c>
      <c r="E210" s="37" t="n">
        <v>46043</v>
      </c>
      <c r="F210" s="103" t="n">
        <v>-621.6</v>
      </c>
      <c r="G210" s="103" t="n">
        <v>621.6</v>
      </c>
      <c r="H210" s="103" t="n">
        <v>0</v>
      </c>
      <c r="I210" s="103" t="n">
        <v>3000</v>
      </c>
      <c r="J210" s="4" t="inlineStr">
        <is>
          <t>Pa</t>
        </is>
      </c>
      <c r="K210" s="33" t="inlineStr">
        <is>
          <t>ROSEMOUNT</t>
        </is>
      </c>
      <c r="L210" s="33" t="inlineStr">
        <is>
          <t>3051 PT</t>
        </is>
      </c>
      <c r="M210" s="20" t="n">
        <v>9844811</v>
      </c>
      <c r="N210" s="2">
        <f>IF(E210="","Waiting","Calibrated")</f>
        <v/>
      </c>
      <c r="O210" s="2" t="n"/>
      <c r="P210" s="2" t="inlineStr">
        <is>
          <t>ZM06</t>
        </is>
      </c>
      <c r="Q210" s="2" t="n"/>
      <c r="R210" s="28" t="n"/>
      <c r="S210" s="28" t="n"/>
      <c r="T210" s="32" t="n"/>
    </row>
    <row r="211" ht="30" customFormat="1" customHeight="1" s="5">
      <c r="A211" s="17" t="n">
        <v>209</v>
      </c>
      <c r="B211" s="17" t="inlineStr">
        <is>
          <t>KIPP11</t>
        </is>
      </c>
      <c r="C211" s="2" t="inlineStr">
        <is>
          <t>11MBL01CP012</t>
        </is>
      </c>
      <c r="D211" s="14" t="inlineStr">
        <is>
          <t>DP AIR INTK FLTR TOT</t>
        </is>
      </c>
      <c r="E211" s="37" t="n">
        <v>46043</v>
      </c>
      <c r="F211" s="103" t="n">
        <v>-621.6</v>
      </c>
      <c r="G211" s="103" t="n">
        <v>621.6</v>
      </c>
      <c r="H211" s="103" t="n">
        <v>0</v>
      </c>
      <c r="I211" s="103" t="n">
        <v>3000</v>
      </c>
      <c r="J211" s="4" t="inlineStr">
        <is>
          <t>Pa</t>
        </is>
      </c>
      <c r="K211" s="33" t="inlineStr">
        <is>
          <t>ROSEMOUNT</t>
        </is>
      </c>
      <c r="L211" s="33" t="inlineStr">
        <is>
          <t>3051 PT</t>
        </is>
      </c>
      <c r="M211" s="20" t="n">
        <v>9844812</v>
      </c>
      <c r="N211" s="2">
        <f>IF(E211="","Waiting","Calibrated")</f>
        <v/>
      </c>
      <c r="O211" s="2" t="n"/>
      <c r="P211" s="2" t="inlineStr">
        <is>
          <t>ZM06</t>
        </is>
      </c>
      <c r="Q211" s="2" t="n"/>
      <c r="R211" s="28" t="n"/>
      <c r="S211" s="28" t="n"/>
      <c r="T211" s="32" t="n"/>
    </row>
    <row r="212" ht="30" customFormat="1" customHeight="1" s="5">
      <c r="A212" s="17" t="n">
        <v>210</v>
      </c>
      <c r="B212" s="17" t="inlineStr">
        <is>
          <t>KIPP11</t>
        </is>
      </c>
      <c r="C212" s="2" t="inlineStr">
        <is>
          <t>11MBL51CP001</t>
        </is>
      </c>
      <c r="D212" s="14" t="inlineStr">
        <is>
          <t>DP PRE FLTR STAGE</t>
        </is>
      </c>
      <c r="E212" s="37" t="n">
        <v>46043</v>
      </c>
      <c r="F212" s="103" t="n">
        <v>-621.6</v>
      </c>
      <c r="G212" s="103" t="n">
        <v>621.6</v>
      </c>
      <c r="H212" s="103" t="n">
        <v>0</v>
      </c>
      <c r="I212" s="103" t="n">
        <v>2500</v>
      </c>
      <c r="J212" s="4" t="inlineStr">
        <is>
          <t>Pa</t>
        </is>
      </c>
      <c r="K212" s="33" t="inlineStr">
        <is>
          <t>ROSEMOUNT</t>
        </is>
      </c>
      <c r="L212" s="33" t="inlineStr">
        <is>
          <t>3051 PT</t>
        </is>
      </c>
      <c r="M212" s="20" t="n">
        <v>9844805</v>
      </c>
      <c r="N212" s="2">
        <f>IF(E212="","Waiting","Calibrated")</f>
        <v/>
      </c>
      <c r="O212" s="2" t="n"/>
      <c r="P212" s="2" t="inlineStr">
        <is>
          <t>ZM06</t>
        </is>
      </c>
      <c r="Q212" s="2" t="n"/>
      <c r="R212" s="28" t="n"/>
      <c r="S212" s="28" t="n"/>
      <c r="T212" s="32" t="n"/>
    </row>
    <row r="213" ht="30" customFormat="1" customHeight="1" s="5">
      <c r="A213" s="17" t="n">
        <v>211</v>
      </c>
      <c r="B213" s="17" t="inlineStr">
        <is>
          <t>KIPP11</t>
        </is>
      </c>
      <c r="C213" s="2" t="inlineStr">
        <is>
          <t>11MBL51CP002</t>
        </is>
      </c>
      <c r="D213" s="14" t="inlineStr">
        <is>
          <t>DP FINE FLTR STAGE</t>
        </is>
      </c>
      <c r="E213" s="37" t="n">
        <v>46043</v>
      </c>
      <c r="F213" s="103" t="n">
        <v>-621.6</v>
      </c>
      <c r="G213" s="103" t="n">
        <v>621.6</v>
      </c>
      <c r="H213" s="103" t="n">
        <v>0</v>
      </c>
      <c r="I213" s="103" t="n">
        <v>2500</v>
      </c>
      <c r="J213" s="4" t="inlineStr">
        <is>
          <t>Pa</t>
        </is>
      </c>
      <c r="K213" s="33" t="inlineStr">
        <is>
          <t>ROSEMOUNT</t>
        </is>
      </c>
      <c r="L213" s="33" t="inlineStr">
        <is>
          <t>3051 PT</t>
        </is>
      </c>
      <c r="M213" s="20" t="n">
        <v>9844806</v>
      </c>
      <c r="N213" s="2">
        <f>IF(E213="","Waiting","Calibrated")</f>
        <v/>
      </c>
      <c r="O213" s="2" t="n"/>
      <c r="P213" s="2" t="inlineStr">
        <is>
          <t>ZM06</t>
        </is>
      </c>
      <c r="Q213" s="2" t="n"/>
      <c r="R213" s="28" t="n"/>
      <c r="S213" s="28" t="n"/>
      <c r="T213" s="32" t="n"/>
    </row>
    <row r="214" ht="30" customFormat="1" customHeight="1" s="5">
      <c r="A214" s="17" t="n">
        <v>212</v>
      </c>
      <c r="B214" s="17" t="inlineStr">
        <is>
          <t>KIPP11</t>
        </is>
      </c>
      <c r="C214" s="2" t="inlineStr">
        <is>
          <t>11MBL51CP012</t>
        </is>
      </c>
      <c r="D214" s="14" t="inlineStr">
        <is>
          <t>DP FINE FLTR STAGE</t>
        </is>
      </c>
      <c r="E214" s="37" t="n">
        <v>46043</v>
      </c>
      <c r="F214" s="103" t="n">
        <v>-621.6</v>
      </c>
      <c r="G214" s="103" t="n">
        <v>621.6</v>
      </c>
      <c r="H214" s="103" t="n">
        <v>0</v>
      </c>
      <c r="I214" s="103" t="n">
        <v>2500</v>
      </c>
      <c r="J214" s="4" t="inlineStr">
        <is>
          <t>Pa</t>
        </is>
      </c>
      <c r="K214" s="33" t="inlineStr">
        <is>
          <t>ROSEMOUNT</t>
        </is>
      </c>
      <c r="L214" s="33" t="inlineStr">
        <is>
          <t>3051 PT</t>
        </is>
      </c>
      <c r="M214" s="20" t="n">
        <v>9844807</v>
      </c>
      <c r="N214" s="2">
        <f>IF(E214="","Waiting","Calibrated")</f>
        <v/>
      </c>
      <c r="O214" s="2" t="n"/>
      <c r="P214" s="2" t="inlineStr">
        <is>
          <t>ZM06</t>
        </is>
      </c>
      <c r="Q214" s="2" t="n"/>
      <c r="R214" s="28" t="n"/>
      <c r="S214" s="28" t="n"/>
      <c r="T214" s="32" t="n"/>
    </row>
    <row r="215" ht="30" customFormat="1" customHeight="1" s="5">
      <c r="A215" s="17" t="n">
        <v>213</v>
      </c>
      <c r="B215" s="17" t="inlineStr">
        <is>
          <t>KIPP11</t>
        </is>
      </c>
      <c r="C215" s="2" t="inlineStr">
        <is>
          <t>11MBL61CP010</t>
        </is>
      </c>
      <c r="D215" s="14" t="inlineStr">
        <is>
          <t>EVAP COOLER PUMP AFTER PRESSURE</t>
        </is>
      </c>
      <c r="E215" s="37" t="n">
        <v>46043</v>
      </c>
      <c r="F215" s="103" t="n">
        <v>-621.6</v>
      </c>
      <c r="G215" s="103" t="n">
        <v>621.6</v>
      </c>
      <c r="H215" s="103" t="n">
        <v>0</v>
      </c>
      <c r="I215" s="103" t="n">
        <v>2500</v>
      </c>
      <c r="J215" s="4" t="inlineStr">
        <is>
          <t>Pa</t>
        </is>
      </c>
      <c r="K215" s="19" t="inlineStr">
        <is>
          <t>ROSEMOUNT</t>
        </is>
      </c>
      <c r="L215" s="19" t="inlineStr">
        <is>
          <t>3051CD</t>
        </is>
      </c>
      <c r="M215" s="20" t="n">
        <v>9852954</v>
      </c>
      <c r="N215" s="2">
        <f>IF(E215="","Waiting","Calibrated")</f>
        <v/>
      </c>
      <c r="O215" s="2" t="n"/>
      <c r="P215" s="2" t="inlineStr">
        <is>
          <t>ZM06</t>
        </is>
      </c>
      <c r="Q215" s="2" t="n"/>
      <c r="R215" s="28" t="n"/>
      <c r="S215" s="28" t="n"/>
      <c r="T215" s="32" t="n"/>
    </row>
    <row r="216" ht="30" customFormat="1" customHeight="1" s="5">
      <c r="A216" s="17" t="n">
        <v>214</v>
      </c>
      <c r="B216" s="17" t="inlineStr">
        <is>
          <t>KIPP11</t>
        </is>
      </c>
      <c r="C216" s="2" t="inlineStr">
        <is>
          <t>11MBP01CP003</t>
        </is>
      </c>
      <c r="D216" s="14" t="inlineStr">
        <is>
          <t>FUEL GAS FILTER DP</t>
        </is>
      </c>
      <c r="E216" s="37" t="n">
        <v>46043</v>
      </c>
      <c r="F216" s="103" t="n">
        <v>-2.4864</v>
      </c>
      <c r="G216" s="103" t="n">
        <v>2.4864</v>
      </c>
      <c r="H216" s="103" t="n">
        <v>0</v>
      </c>
      <c r="I216" s="103" t="n">
        <v>1.5</v>
      </c>
      <c r="J216" s="4" t="inlineStr">
        <is>
          <t>Bar</t>
        </is>
      </c>
      <c r="K216" s="33" t="inlineStr">
        <is>
          <t>ROSEMOUNT</t>
        </is>
      </c>
      <c r="L216" s="33" t="inlineStr">
        <is>
          <t>3051 PT</t>
        </is>
      </c>
      <c r="M216" s="20" t="n">
        <v>9789262</v>
      </c>
      <c r="N216" s="2">
        <f>IF(E216="","Waiting","Calibrated")</f>
        <v/>
      </c>
      <c r="O216" s="2" t="n"/>
      <c r="P216" s="2" t="inlineStr">
        <is>
          <t>ZM06</t>
        </is>
      </c>
      <c r="Q216" s="2" t="n"/>
      <c r="R216" s="28" t="n"/>
      <c r="S216" s="28" t="n"/>
      <c r="T216" s="32" t="n"/>
    </row>
    <row r="217" ht="30" customFormat="1" customHeight="1" s="5">
      <c r="A217" s="17" t="n">
        <v>215</v>
      </c>
      <c r="B217" s="17" t="inlineStr">
        <is>
          <t>KIPP11</t>
        </is>
      </c>
      <c r="C217" s="2" t="inlineStr">
        <is>
          <t>11MBP05CP102</t>
        </is>
      </c>
      <c r="D217" s="14" t="inlineStr">
        <is>
          <t>EV FUEL GAS FLOW PT</t>
        </is>
      </c>
      <c r="E217" s="37" t="n">
        <v>46043</v>
      </c>
      <c r="F217" s="103" t="n">
        <v>0</v>
      </c>
      <c r="G217" s="103" t="n">
        <v>55.16</v>
      </c>
      <c r="H217" s="103" t="n">
        <v>0</v>
      </c>
      <c r="I217" s="103" t="n">
        <v>55</v>
      </c>
      <c r="J217" s="4" t="inlineStr">
        <is>
          <t>Bar</t>
        </is>
      </c>
      <c r="K217" s="33" t="inlineStr">
        <is>
          <t>ROSEMOUNT</t>
        </is>
      </c>
      <c r="L217" s="33" t="inlineStr">
        <is>
          <t>3051 PT</t>
        </is>
      </c>
      <c r="M217" s="20" t="n">
        <v>9846441</v>
      </c>
      <c r="N217" s="2">
        <f>IF(E217="","Waiting","Calibrated")</f>
        <v/>
      </c>
      <c r="O217" s="2" t="n"/>
      <c r="P217" s="2" t="inlineStr">
        <is>
          <t>ZM06</t>
        </is>
      </c>
      <c r="Q217" s="2" t="n"/>
      <c r="R217" s="28" t="n"/>
      <c r="S217" s="28" t="n"/>
      <c r="T217" s="32" t="inlineStr">
        <is>
          <t>Atm. Basıncı 0,935 Bar</t>
        </is>
      </c>
    </row>
    <row r="218" ht="30" customFormat="1" customHeight="1" s="5">
      <c r="A218" s="17" t="n">
        <v>216</v>
      </c>
      <c r="B218" s="17" t="inlineStr">
        <is>
          <t>KIPP11</t>
        </is>
      </c>
      <c r="C218" s="2" t="inlineStr">
        <is>
          <t>11MBP41CP001</t>
        </is>
      </c>
      <c r="D218" s="14" t="inlineStr">
        <is>
          <t>P AFT TRIP SOV EV</t>
        </is>
      </c>
      <c r="E218" s="37" t="n">
        <v>46043</v>
      </c>
      <c r="F218" s="103" t="n">
        <v>-137.89</v>
      </c>
      <c r="G218" s="103" t="n">
        <v>137.89</v>
      </c>
      <c r="H218" s="103" t="n">
        <v>0</v>
      </c>
      <c r="I218" s="103" t="n">
        <v>70</v>
      </c>
      <c r="J218" s="4" t="inlineStr">
        <is>
          <t>Bar</t>
        </is>
      </c>
      <c r="K218" s="33" t="inlineStr">
        <is>
          <t>ROSEMOUNT</t>
        </is>
      </c>
      <c r="L218" s="33" t="inlineStr">
        <is>
          <t>3051 PT</t>
        </is>
      </c>
      <c r="M218" s="20" t="n">
        <v>9782024</v>
      </c>
      <c r="N218" s="2">
        <f>IF(E218="","Waiting","Calibrated")</f>
        <v/>
      </c>
      <c r="O218" s="2" t="n"/>
      <c r="P218" s="2" t="inlineStr">
        <is>
          <t>ZM06</t>
        </is>
      </c>
      <c r="Q218" s="2" t="n"/>
      <c r="R218" s="28" t="n"/>
      <c r="S218" s="28" t="n"/>
      <c r="T218" s="32" t="n"/>
    </row>
    <row r="219" ht="30" customFormat="1" customHeight="1" s="5">
      <c r="A219" s="17" t="n">
        <v>217</v>
      </c>
      <c r="B219" s="17" t="inlineStr">
        <is>
          <t>KIPP11</t>
        </is>
      </c>
      <c r="C219" s="2" t="inlineStr">
        <is>
          <t>11MBP41CP004</t>
        </is>
      </c>
      <c r="D219" s="14" t="inlineStr">
        <is>
          <t>DP CV EV STG2</t>
        </is>
      </c>
      <c r="E219" s="37" t="n">
        <v>46043</v>
      </c>
      <c r="F219" s="103" t="n">
        <v>-137.89</v>
      </c>
      <c r="G219" s="103" t="n">
        <v>137.89</v>
      </c>
      <c r="H219" s="103" t="n">
        <v>0</v>
      </c>
      <c r="I219" s="103" t="n">
        <v>70</v>
      </c>
      <c r="J219" s="4" t="inlineStr">
        <is>
          <t>Bar</t>
        </is>
      </c>
      <c r="K219" s="33" t="inlineStr">
        <is>
          <t>ROSEMOUNT</t>
        </is>
      </c>
      <c r="L219" s="33" t="inlineStr">
        <is>
          <t>3051 PT</t>
        </is>
      </c>
      <c r="M219" s="20" t="n">
        <v>9782030</v>
      </c>
      <c r="N219" s="2">
        <f>IF(E219="","Waiting","Calibrated")</f>
        <v/>
      </c>
      <c r="O219" s="2" t="n"/>
      <c r="P219" s="2" t="inlineStr">
        <is>
          <t>ZM06</t>
        </is>
      </c>
      <c r="Q219" s="2" t="n"/>
      <c r="R219" s="28" t="n"/>
      <c r="S219" s="28" t="n"/>
      <c r="T219" s="32" t="n"/>
    </row>
    <row r="220" ht="30" customFormat="1" customHeight="1" s="5">
      <c r="A220" s="17" t="n">
        <v>218</v>
      </c>
      <c r="B220" s="17" t="inlineStr">
        <is>
          <t>KIPP11</t>
        </is>
      </c>
      <c r="C220" s="2" t="inlineStr">
        <is>
          <t>11MBP41CP006</t>
        </is>
      </c>
      <c r="D220" s="14" t="inlineStr">
        <is>
          <t>P AFT CV FGAS EV</t>
        </is>
      </c>
      <c r="E220" s="37" t="n">
        <v>46043</v>
      </c>
      <c r="F220" s="103" t="n">
        <v>-137.89</v>
      </c>
      <c r="G220" s="103" t="n">
        <v>137.89</v>
      </c>
      <c r="H220" s="103" t="n">
        <v>0</v>
      </c>
      <c r="I220" s="103" t="n">
        <v>70</v>
      </c>
      <c r="J220" s="4" t="inlineStr">
        <is>
          <t>Bar</t>
        </is>
      </c>
      <c r="K220" s="33" t="inlineStr">
        <is>
          <t>ROSEMOUNT</t>
        </is>
      </c>
      <c r="L220" s="33" t="inlineStr">
        <is>
          <t>3051 PT</t>
        </is>
      </c>
      <c r="M220" s="20" t="n">
        <v>9782025</v>
      </c>
      <c r="N220" s="2">
        <f>IF(E220="","Waiting","Calibrated")</f>
        <v/>
      </c>
      <c r="O220" s="2" t="n"/>
      <c r="P220" s="2" t="inlineStr">
        <is>
          <t>ZM06</t>
        </is>
      </c>
      <c r="Q220" s="2" t="n"/>
      <c r="R220" s="28" t="n"/>
      <c r="S220" s="28" t="n"/>
      <c r="T220" s="32" t="n"/>
    </row>
    <row r="221" ht="30" customFormat="1" customHeight="1" s="5">
      <c r="A221" s="17" t="n">
        <v>219</v>
      </c>
      <c r="B221" s="17" t="inlineStr">
        <is>
          <t>KIPP11</t>
        </is>
      </c>
      <c r="C221" s="2" t="inlineStr">
        <is>
          <t>11MBP42CP001</t>
        </is>
      </c>
      <c r="D221" s="14" t="inlineStr">
        <is>
          <t>P BEF FGAS TRIP SOV SEV</t>
        </is>
      </c>
      <c r="E221" s="37" t="n">
        <v>46043</v>
      </c>
      <c r="F221" s="103" t="n">
        <v>-137.89</v>
      </c>
      <c r="G221" s="103" t="n">
        <v>137.89</v>
      </c>
      <c r="H221" s="103" t="n">
        <v>0</v>
      </c>
      <c r="I221" s="103" t="n">
        <v>70</v>
      </c>
      <c r="J221" s="4" t="inlineStr">
        <is>
          <t>Bar</t>
        </is>
      </c>
      <c r="K221" s="33" t="inlineStr">
        <is>
          <t>ROSEMOUNT</t>
        </is>
      </c>
      <c r="L221" s="33" t="inlineStr">
        <is>
          <t>3051 PT</t>
        </is>
      </c>
      <c r="M221" s="20" t="n">
        <v>9782026</v>
      </c>
      <c r="N221" s="2">
        <f>IF(E221="","Waiting","Calibrated")</f>
        <v/>
      </c>
      <c r="O221" s="2" t="n"/>
      <c r="P221" s="2" t="inlineStr">
        <is>
          <t>ZM06</t>
        </is>
      </c>
      <c r="Q221" s="2" t="n"/>
      <c r="R221" s="28" t="n"/>
      <c r="S221" s="28" t="n"/>
      <c r="T221" s="32" t="n"/>
    </row>
    <row r="222" ht="30" customFormat="1" customHeight="1" s="5">
      <c r="A222" s="17" t="n">
        <v>220</v>
      </c>
      <c r="B222" s="17" t="inlineStr">
        <is>
          <t>KIPP11</t>
        </is>
      </c>
      <c r="C222" s="2" t="inlineStr">
        <is>
          <t>11MBP42CP004</t>
        </is>
      </c>
      <c r="D222" s="14" t="inlineStr">
        <is>
          <t>DP CV FGAS SEV</t>
        </is>
      </c>
      <c r="E222" s="37" t="n">
        <v>46043</v>
      </c>
      <c r="F222" s="103" t="n">
        <v>-137.89</v>
      </c>
      <c r="G222" s="103" t="n">
        <v>137.89</v>
      </c>
      <c r="H222" s="103" t="n">
        <v>0</v>
      </c>
      <c r="I222" s="103" t="n">
        <v>70</v>
      </c>
      <c r="J222" s="4" t="inlineStr">
        <is>
          <t>Bar</t>
        </is>
      </c>
      <c r="K222" s="33" t="inlineStr">
        <is>
          <t>ROSEMOUNT</t>
        </is>
      </c>
      <c r="L222" s="33" t="inlineStr">
        <is>
          <t>3051 PT</t>
        </is>
      </c>
      <c r="M222" s="20" t="n">
        <v>9782031</v>
      </c>
      <c r="N222" s="2">
        <f>IF(E222="","Waiting","Calibrated")</f>
        <v/>
      </c>
      <c r="O222" s="2" t="n"/>
      <c r="P222" s="2" t="inlineStr">
        <is>
          <t>ZM06</t>
        </is>
      </c>
      <c r="Q222" s="2" t="n"/>
      <c r="R222" s="28" t="n"/>
      <c r="S222" s="28" t="n"/>
      <c r="T222" s="32" t="n"/>
    </row>
    <row r="223" ht="30" customFormat="1" customHeight="1" s="5">
      <c r="A223" s="17" t="n">
        <v>221</v>
      </c>
      <c r="B223" s="17" t="inlineStr">
        <is>
          <t>KIPP11</t>
        </is>
      </c>
      <c r="C223" s="2" t="inlineStr">
        <is>
          <t>11MBP42CP006</t>
        </is>
      </c>
      <c r="D223" s="14" t="inlineStr">
        <is>
          <t>P AFT CV FGAS SEV</t>
        </is>
      </c>
      <c r="E223" s="37" t="n">
        <v>46043</v>
      </c>
      <c r="F223" s="103" t="n">
        <v>-137.89</v>
      </c>
      <c r="G223" s="103" t="n">
        <v>137.89</v>
      </c>
      <c r="H223" s="103" t="n">
        <v>0</v>
      </c>
      <c r="I223" s="103" t="n">
        <v>70</v>
      </c>
      <c r="J223" s="4" t="inlineStr">
        <is>
          <t>Bar</t>
        </is>
      </c>
      <c r="K223" s="33" t="inlineStr">
        <is>
          <t>ROSEMOUNT</t>
        </is>
      </c>
      <c r="L223" s="33" t="inlineStr">
        <is>
          <t>3051 PT</t>
        </is>
      </c>
      <c r="M223" s="20" t="n">
        <v>9782027</v>
      </c>
      <c r="N223" s="2">
        <f>IF(E223="","Waiting","Calibrated")</f>
        <v/>
      </c>
      <c r="O223" s="2" t="n"/>
      <c r="P223" s="2" t="inlineStr">
        <is>
          <t>ZM06</t>
        </is>
      </c>
      <c r="Q223" s="2" t="n"/>
      <c r="R223" s="28" t="n"/>
      <c r="S223" s="28" t="n"/>
      <c r="T223" s="32" t="n"/>
    </row>
    <row r="224" ht="30" customFormat="1" customHeight="1" s="5">
      <c r="A224" s="17" t="n">
        <v>222</v>
      </c>
      <c r="B224" s="17" t="inlineStr">
        <is>
          <t>KIPP11</t>
        </is>
      </c>
      <c r="C224" s="2" t="inlineStr">
        <is>
          <t>11MBP43CP001</t>
        </is>
      </c>
      <c r="D224" s="14" t="inlineStr">
        <is>
          <t>P BFR CV EV STG1 FGAS</t>
        </is>
      </c>
      <c r="E224" s="37" t="n">
        <v>46043</v>
      </c>
      <c r="F224" s="103" t="n">
        <v>-137.89</v>
      </c>
      <c r="G224" s="103" t="n">
        <v>137.89</v>
      </c>
      <c r="H224" s="103" t="n">
        <v>0</v>
      </c>
      <c r="I224" s="103" t="n">
        <v>70</v>
      </c>
      <c r="J224" s="4" t="inlineStr">
        <is>
          <t>Bar</t>
        </is>
      </c>
      <c r="K224" s="33" t="inlineStr">
        <is>
          <t>ROSEMOUNT</t>
        </is>
      </c>
      <c r="L224" s="33" t="inlineStr">
        <is>
          <t>3051 PT</t>
        </is>
      </c>
      <c r="M224" s="20" t="n">
        <v>9782028</v>
      </c>
      <c r="N224" s="2">
        <f>IF(E224="","Waiting","Calibrated")</f>
        <v/>
      </c>
      <c r="O224" s="2" t="n"/>
      <c r="P224" s="2" t="inlineStr">
        <is>
          <t>ZM06</t>
        </is>
      </c>
      <c r="Q224" s="2" t="n"/>
      <c r="R224" s="28" t="n"/>
      <c r="S224" s="28" t="n"/>
      <c r="T224" s="32" t="n"/>
    </row>
    <row r="225" ht="30" customFormat="1" customHeight="1" s="5">
      <c r="A225" s="17" t="n">
        <v>223</v>
      </c>
      <c r="B225" s="17" t="inlineStr">
        <is>
          <t>KIPP11</t>
        </is>
      </c>
      <c r="C225" s="2" t="inlineStr">
        <is>
          <t>11MBP43CP004</t>
        </is>
      </c>
      <c r="D225" s="14" t="inlineStr">
        <is>
          <t>DP CV EVSTG1 FGAS</t>
        </is>
      </c>
      <c r="E225" s="37" t="n">
        <v>46043</v>
      </c>
      <c r="F225" s="103" t="n">
        <v>-137.89</v>
      </c>
      <c r="G225" s="103" t="n">
        <v>137.89</v>
      </c>
      <c r="H225" s="103" t="n">
        <v>0</v>
      </c>
      <c r="I225" s="103" t="n">
        <v>70</v>
      </c>
      <c r="J225" s="4" t="inlineStr">
        <is>
          <t>Bar</t>
        </is>
      </c>
      <c r="K225" s="33" t="inlineStr">
        <is>
          <t>ROSEMOUNT</t>
        </is>
      </c>
      <c r="L225" s="33" t="inlineStr">
        <is>
          <t>3051 PT</t>
        </is>
      </c>
      <c r="M225" s="20" t="n">
        <v>9782032</v>
      </c>
      <c r="N225" s="2">
        <f>IF(E225="","Waiting","Calibrated")</f>
        <v/>
      </c>
      <c r="O225" s="2" t="n"/>
      <c r="P225" s="2" t="inlineStr">
        <is>
          <t>ZM06</t>
        </is>
      </c>
      <c r="Q225" s="2" t="n"/>
      <c r="R225" s="28" t="n"/>
      <c r="S225" s="28" t="n"/>
      <c r="T225" s="32" t="n"/>
    </row>
    <row r="226" ht="30" customFormat="1" customHeight="1" s="5">
      <c r="A226" s="17" t="n">
        <v>224</v>
      </c>
      <c r="B226" s="17" t="inlineStr">
        <is>
          <t>KIPP11</t>
        </is>
      </c>
      <c r="C226" s="2" t="inlineStr">
        <is>
          <t>11MBP43CP006</t>
        </is>
      </c>
      <c r="D226" s="14" t="inlineStr">
        <is>
          <t>P AFT CV EV STG1 FGAS</t>
        </is>
      </c>
      <c r="E226" s="37" t="n">
        <v>46043</v>
      </c>
      <c r="F226" s="103" t="n">
        <v>-137.89</v>
      </c>
      <c r="G226" s="103" t="n">
        <v>137.89</v>
      </c>
      <c r="H226" s="103" t="n">
        <v>0</v>
      </c>
      <c r="I226" s="103" t="n">
        <v>70</v>
      </c>
      <c r="J226" s="4" t="inlineStr">
        <is>
          <t>Bar</t>
        </is>
      </c>
      <c r="K226" s="33" t="inlineStr">
        <is>
          <t>ROSEMOUNT</t>
        </is>
      </c>
      <c r="L226" s="33" t="inlineStr">
        <is>
          <t>3051 PT</t>
        </is>
      </c>
      <c r="M226" s="20" t="n">
        <v>9782029</v>
      </c>
      <c r="N226" s="2">
        <f>IF(E226="","Waiting","Calibrated")</f>
        <v/>
      </c>
      <c r="O226" s="2" t="n"/>
      <c r="P226" s="2" t="inlineStr">
        <is>
          <t>ZM06</t>
        </is>
      </c>
      <c r="Q226" s="2" t="n"/>
      <c r="R226" s="28" t="n"/>
      <c r="S226" s="28" t="n"/>
      <c r="T226" s="32" t="n"/>
    </row>
    <row r="227" ht="30" customFormat="1" customHeight="1" s="5">
      <c r="A227" s="17" t="n">
        <v>225</v>
      </c>
      <c r="B227" s="17" t="inlineStr">
        <is>
          <t>KIPP11</t>
        </is>
      </c>
      <c r="C227" s="2" t="inlineStr">
        <is>
          <t>11MBV10CP001</t>
        </is>
      </c>
      <c r="D227" s="14" t="inlineStr">
        <is>
          <t>PRESSURE LUBE OIL TANK</t>
        </is>
      </c>
      <c r="E227" s="37" t="n">
        <v>46044</v>
      </c>
      <c r="F227" s="103" t="n">
        <v>-621.6</v>
      </c>
      <c r="G227" s="103" t="n">
        <v>621.6</v>
      </c>
      <c r="H227" s="103" t="n">
        <v>0</v>
      </c>
      <c r="I227" s="103" t="n">
        <v>60</v>
      </c>
      <c r="J227" s="4" t="inlineStr">
        <is>
          <t>mBar</t>
        </is>
      </c>
      <c r="K227" s="19" t="inlineStr">
        <is>
          <t>ROSEMOUNT</t>
        </is>
      </c>
      <c r="L227" s="19" t="inlineStr">
        <is>
          <t>3051 PT</t>
        </is>
      </c>
      <c r="M227" s="20" t="n">
        <v>9781969</v>
      </c>
      <c r="N227" s="2">
        <f>IF(E227="","Waiting","Calibrated")</f>
        <v/>
      </c>
      <c r="O227" s="2" t="n"/>
      <c r="P227" s="2" t="inlineStr">
        <is>
          <t>ZM06</t>
        </is>
      </c>
      <c r="Q227" s="2" t="n"/>
      <c r="R227" s="28" t="n"/>
      <c r="S227" s="28" t="n"/>
      <c r="T227" s="32" t="n"/>
    </row>
    <row r="228" ht="30" customFormat="1" customHeight="1" s="5">
      <c r="A228" s="17" t="n">
        <v>226</v>
      </c>
      <c r="B228" s="17" t="inlineStr">
        <is>
          <t>KIPP11</t>
        </is>
      </c>
      <c r="C228" s="2" t="inlineStr">
        <is>
          <t>11MBV21CP001</t>
        </is>
      </c>
      <c r="D228" s="14" t="inlineStr">
        <is>
          <t>P AFT LUBE OIL PMP 1</t>
        </is>
      </c>
      <c r="E228" s="37" t="n">
        <v>46044</v>
      </c>
      <c r="F228" s="103" t="n">
        <v>-1.013</v>
      </c>
      <c r="G228" s="103" t="n">
        <v>10.342</v>
      </c>
      <c r="H228" s="103" t="n">
        <v>0</v>
      </c>
      <c r="I228" s="103" t="n">
        <v>10</v>
      </c>
      <c r="J228" s="4" t="inlineStr">
        <is>
          <t>Bar</t>
        </is>
      </c>
      <c r="K228" s="19" t="inlineStr">
        <is>
          <t>ROSEMOUNT</t>
        </is>
      </c>
      <c r="L228" s="19" t="inlineStr">
        <is>
          <t>2088 PT</t>
        </is>
      </c>
      <c r="M228" s="20" t="n">
        <v>9791817</v>
      </c>
      <c r="N228" s="2">
        <f>IF(E228="","Waiting","Calibrated")</f>
        <v/>
      </c>
      <c r="O228" s="2" t="n"/>
      <c r="P228" s="2" t="inlineStr">
        <is>
          <t>ZM06</t>
        </is>
      </c>
      <c r="Q228" s="2" t="n"/>
      <c r="R228" s="28" t="n"/>
      <c r="S228" s="28" t="n"/>
      <c r="T228" s="32" t="n"/>
    </row>
    <row r="229" ht="30" customFormat="1" customHeight="1" s="5">
      <c r="A229" s="17" t="n">
        <v>227</v>
      </c>
      <c r="B229" s="17" t="inlineStr">
        <is>
          <t>KIPP11</t>
        </is>
      </c>
      <c r="C229" s="2" t="inlineStr">
        <is>
          <t>11MBV21CP002</t>
        </is>
      </c>
      <c r="D229" s="14" t="inlineStr">
        <is>
          <t>P AFT LUBE OIL PMP 2</t>
        </is>
      </c>
      <c r="E229" s="37" t="n">
        <v>46044</v>
      </c>
      <c r="F229" s="103" t="n">
        <v>-1.013</v>
      </c>
      <c r="G229" s="103" t="n">
        <v>10.342</v>
      </c>
      <c r="H229" s="103" t="n">
        <v>0</v>
      </c>
      <c r="I229" s="103" t="n">
        <v>10</v>
      </c>
      <c r="J229" s="4" t="inlineStr">
        <is>
          <t>Bar</t>
        </is>
      </c>
      <c r="K229" s="19" t="inlineStr">
        <is>
          <t>ROSEMOUNT</t>
        </is>
      </c>
      <c r="L229" s="19" t="inlineStr">
        <is>
          <t>2088 PT</t>
        </is>
      </c>
      <c r="M229" s="20" t="n">
        <v>9791818</v>
      </c>
      <c r="N229" s="2">
        <f>IF(E229="","Waiting","Calibrated")</f>
        <v/>
      </c>
      <c r="O229" s="2" t="n"/>
      <c r="P229" s="2" t="inlineStr">
        <is>
          <t>ZM06</t>
        </is>
      </c>
      <c r="Q229" s="2" t="n"/>
      <c r="R229" s="28" t="n"/>
      <c r="S229" s="28" t="n"/>
      <c r="T229" s="32" t="n"/>
    </row>
    <row r="230" ht="30" customFormat="1" customHeight="1" s="5">
      <c r="A230" s="17" t="n">
        <v>228</v>
      </c>
      <c r="B230" s="17" t="inlineStr">
        <is>
          <t>KIPP11</t>
        </is>
      </c>
      <c r="C230" s="2" t="inlineStr">
        <is>
          <t>11MBV21CP003</t>
        </is>
      </c>
      <c r="D230" s="14" t="inlineStr">
        <is>
          <t>LUBE OIL FILTER DP</t>
        </is>
      </c>
      <c r="E230" s="37" t="n">
        <v>46044</v>
      </c>
      <c r="F230" s="103" t="n">
        <v>-2.4864</v>
      </c>
      <c r="G230" s="103" t="n">
        <v>2.4864</v>
      </c>
      <c r="H230" s="103" t="n">
        <v>-2.5</v>
      </c>
      <c r="I230" s="103" t="n">
        <v>2.5</v>
      </c>
      <c r="J230" s="4" t="inlineStr">
        <is>
          <t>Bar</t>
        </is>
      </c>
      <c r="K230" s="19" t="inlineStr">
        <is>
          <t>ROSEMOUNT</t>
        </is>
      </c>
      <c r="L230" s="19" t="inlineStr">
        <is>
          <t>3051 PT</t>
        </is>
      </c>
      <c r="M230" s="20" t="n">
        <v>9781970</v>
      </c>
      <c r="N230" s="2">
        <f>IF(E230="","Waiting","Calibrated")</f>
        <v/>
      </c>
      <c r="O230" s="2" t="n"/>
      <c r="P230" s="2" t="inlineStr">
        <is>
          <t>ZM06</t>
        </is>
      </c>
      <c r="Q230" s="2" t="n"/>
      <c r="R230" s="28" t="n"/>
      <c r="S230" s="28" t="n"/>
      <c r="T230" s="32" t="n"/>
    </row>
    <row r="231" ht="30" customFormat="1" customHeight="1" s="5">
      <c r="A231" s="17" t="n">
        <v>229</v>
      </c>
      <c r="B231" s="17" t="inlineStr">
        <is>
          <t>KIPP11</t>
        </is>
      </c>
      <c r="C231" s="2" t="inlineStr">
        <is>
          <t>11MBV22CP001</t>
        </is>
      </c>
      <c r="D231" s="14" t="inlineStr">
        <is>
          <t>EMERGENCY LUBE OIL PUMP AFTER PRESSURE</t>
        </is>
      </c>
      <c r="E231" s="37" t="n">
        <v>46044</v>
      </c>
      <c r="F231" s="103" t="n">
        <v>-1.013</v>
      </c>
      <c r="G231" s="103" t="n">
        <v>10.342</v>
      </c>
      <c r="H231" s="103" t="n">
        <v>0</v>
      </c>
      <c r="I231" s="103" t="n">
        <v>10</v>
      </c>
      <c r="J231" s="4" t="inlineStr">
        <is>
          <t>Bar</t>
        </is>
      </c>
      <c r="K231" s="19" t="inlineStr">
        <is>
          <t>ROSEMOUNT</t>
        </is>
      </c>
      <c r="L231" s="19" t="inlineStr">
        <is>
          <t>2088 PT</t>
        </is>
      </c>
      <c r="M231" s="20" t="n">
        <v>9791819</v>
      </c>
      <c r="N231" s="2">
        <f>IF(E231="","Waiting","Calibrated")</f>
        <v/>
      </c>
      <c r="O231" s="2" t="n"/>
      <c r="P231" s="2" t="inlineStr">
        <is>
          <t>ZM06</t>
        </is>
      </c>
      <c r="Q231" s="2" t="n"/>
      <c r="R231" s="28" t="n"/>
      <c r="S231" s="28" t="n"/>
      <c r="T231" s="32" t="n"/>
    </row>
    <row r="232" ht="30" customFormat="1" customHeight="1" s="5">
      <c r="A232" s="17" t="n">
        <v>230</v>
      </c>
      <c r="B232" s="17" t="inlineStr">
        <is>
          <t>KIPP11</t>
        </is>
      </c>
      <c r="C232" s="2" t="inlineStr">
        <is>
          <t>11MBV40CP001</t>
        </is>
      </c>
      <c r="D232" s="14" t="inlineStr">
        <is>
          <t>LUBE OIL HEADER PRESSURE</t>
        </is>
      </c>
      <c r="E232" s="37" t="n">
        <v>46044</v>
      </c>
      <c r="F232" s="103" t="n">
        <v>-1.013</v>
      </c>
      <c r="G232" s="103" t="n">
        <v>10.342</v>
      </c>
      <c r="H232" s="103" t="n">
        <v>0</v>
      </c>
      <c r="I232" s="103" t="n">
        <v>10</v>
      </c>
      <c r="J232" s="4" t="inlineStr">
        <is>
          <t>Bar</t>
        </is>
      </c>
      <c r="K232" s="19" t="inlineStr">
        <is>
          <t>ROSEMOUNT</t>
        </is>
      </c>
      <c r="L232" s="19" t="inlineStr">
        <is>
          <t>2088 PT</t>
        </is>
      </c>
      <c r="M232" s="20" t="n">
        <v>9791820</v>
      </c>
      <c r="N232" s="2">
        <f>IF(E232="","Waiting","Calibrated")</f>
        <v/>
      </c>
      <c r="O232" s="2" t="n"/>
      <c r="P232" s="2" t="inlineStr">
        <is>
          <t>ZM06</t>
        </is>
      </c>
      <c r="Q232" s="2" t="n"/>
      <c r="R232" s="28" t="n"/>
      <c r="S232" s="28" t="n"/>
      <c r="T232" s="32" t="n"/>
    </row>
    <row r="233" ht="30" customFormat="1" customHeight="1" s="5">
      <c r="A233" s="17" t="n">
        <v>231</v>
      </c>
      <c r="B233" s="17" t="inlineStr">
        <is>
          <t>KIPP11</t>
        </is>
      </c>
      <c r="C233" s="2" t="inlineStr">
        <is>
          <t>11MBV40CP002</t>
        </is>
      </c>
      <c r="D233" s="14" t="inlineStr">
        <is>
          <t>LUBE OIL HEADER PRESSURE</t>
        </is>
      </c>
      <c r="E233" s="37" t="n">
        <v>46044</v>
      </c>
      <c r="F233" s="103" t="n">
        <v>-1.013</v>
      </c>
      <c r="G233" s="103" t="n">
        <v>10.342</v>
      </c>
      <c r="H233" s="103" t="n">
        <v>0</v>
      </c>
      <c r="I233" s="103" t="n">
        <v>10</v>
      </c>
      <c r="J233" s="4" t="inlineStr">
        <is>
          <t>Bar</t>
        </is>
      </c>
      <c r="K233" s="19" t="inlineStr">
        <is>
          <t>ROSEMOUNT</t>
        </is>
      </c>
      <c r="L233" s="19" t="inlineStr">
        <is>
          <t>2088 PT</t>
        </is>
      </c>
      <c r="M233" s="20" t="n">
        <v>9791821</v>
      </c>
      <c r="N233" s="2">
        <f>IF(E233="","Waiting","Calibrated")</f>
        <v/>
      </c>
      <c r="O233" s="2" t="n"/>
      <c r="P233" s="2" t="inlineStr">
        <is>
          <t>ZM06</t>
        </is>
      </c>
      <c r="Q233" s="2" t="n"/>
      <c r="R233" s="28" t="n"/>
      <c r="S233" s="28" t="n"/>
      <c r="T233" s="32" t="n"/>
    </row>
    <row r="234" ht="30" customFormat="1" customHeight="1" s="5">
      <c r="A234" s="17" t="n">
        <v>232</v>
      </c>
      <c r="B234" s="17" t="inlineStr">
        <is>
          <t>KIPP11</t>
        </is>
      </c>
      <c r="C234" s="2" t="inlineStr">
        <is>
          <t>11MBV40CP003</t>
        </is>
      </c>
      <c r="D234" s="14" t="inlineStr">
        <is>
          <t>LUBE OIL HEADER PRESSURE</t>
        </is>
      </c>
      <c r="E234" s="37" t="n">
        <v>46044</v>
      </c>
      <c r="F234" s="103" t="n">
        <v>-1.013</v>
      </c>
      <c r="G234" s="103" t="n">
        <v>10.342</v>
      </c>
      <c r="H234" s="103" t="n">
        <v>0</v>
      </c>
      <c r="I234" s="103" t="n">
        <v>10</v>
      </c>
      <c r="J234" s="4" t="inlineStr">
        <is>
          <t>Bar</t>
        </is>
      </c>
      <c r="K234" s="19" t="inlineStr">
        <is>
          <t>ROSEMOUNT</t>
        </is>
      </c>
      <c r="L234" s="19" t="inlineStr">
        <is>
          <t>2088 PT</t>
        </is>
      </c>
      <c r="M234" s="20" t="n">
        <v>9791822</v>
      </c>
      <c r="N234" s="2">
        <f>IF(E234="","Waiting","Calibrated")</f>
        <v/>
      </c>
      <c r="O234" s="2" t="n"/>
      <c r="P234" s="2" t="inlineStr">
        <is>
          <t>ZM06</t>
        </is>
      </c>
      <c r="Q234" s="2" t="n"/>
      <c r="R234" s="28" t="n"/>
      <c r="S234" s="28" t="n"/>
      <c r="T234" s="32" t="n"/>
    </row>
    <row r="235" ht="30" customFormat="1" customHeight="1" s="5">
      <c r="A235" s="17" t="n">
        <v>233</v>
      </c>
      <c r="B235" s="17" t="inlineStr">
        <is>
          <t>KIPP11</t>
        </is>
      </c>
      <c r="C235" s="2" t="inlineStr">
        <is>
          <t>11MBV40CP006</t>
        </is>
      </c>
      <c r="D235" s="14" t="inlineStr">
        <is>
          <t>P LUBE OIL HEADER 6  ( PRESSURE SWITCH )</t>
        </is>
      </c>
      <c r="E235" s="37" t="n">
        <v>46044</v>
      </c>
      <c r="F235" s="103" t="n">
        <v>0</v>
      </c>
      <c r="G235" s="103" t="n">
        <v>10</v>
      </c>
      <c r="H235" s="103" t="inlineStr">
        <is>
          <t>-</t>
        </is>
      </c>
      <c r="I235" s="103" t="n">
        <v>2.11</v>
      </c>
      <c r="J235" s="4" t="inlineStr">
        <is>
          <t>Bar</t>
        </is>
      </c>
      <c r="K235" s="19" t="inlineStr">
        <is>
          <t>TRAFOG</t>
        </is>
      </c>
      <c r="L235" s="19" t="inlineStr">
        <is>
          <t>Switch</t>
        </is>
      </c>
      <c r="M235" s="19" t="inlineStr">
        <is>
          <t>-</t>
        </is>
      </c>
      <c r="N235" s="2">
        <f>IF(E235="","Waiting","Calibrated")</f>
        <v/>
      </c>
      <c r="O235" s="2" t="n"/>
      <c r="P235" s="2" t="inlineStr">
        <is>
          <t>ZM06</t>
        </is>
      </c>
      <c r="Q235" s="2" t="n"/>
      <c r="R235" s="28" t="n"/>
      <c r="S235" s="28" t="n"/>
      <c r="T235" s="32" t="n"/>
    </row>
    <row r="236" ht="30" customFormat="1" customHeight="1" s="5">
      <c r="A236" s="17" t="n">
        <v>234</v>
      </c>
      <c r="B236" s="17" t="inlineStr">
        <is>
          <t>KIPP11</t>
        </is>
      </c>
      <c r="C236" s="2" t="inlineStr">
        <is>
          <t>11MBX21CP001</t>
        </is>
      </c>
      <c r="D236" s="14" t="inlineStr">
        <is>
          <t>P AFT PWR OIL PMP 2</t>
        </is>
      </c>
      <c r="E236" s="37" t="n">
        <v>46044</v>
      </c>
      <c r="F236" s="103" t="n">
        <v>-1.01</v>
      </c>
      <c r="G236" s="103" t="n">
        <v>55.16</v>
      </c>
      <c r="H236" s="103" t="n">
        <v>0</v>
      </c>
      <c r="I236" s="103" t="n">
        <v>52</v>
      </c>
      <c r="J236" s="4" t="inlineStr">
        <is>
          <t>Bar</t>
        </is>
      </c>
      <c r="K236" s="19" t="inlineStr">
        <is>
          <t>ROSEMOUNT</t>
        </is>
      </c>
      <c r="L236" s="19" t="inlineStr">
        <is>
          <t>2088 PT</t>
        </is>
      </c>
      <c r="M236" s="20" t="n">
        <v>9791823</v>
      </c>
      <c r="N236" s="2">
        <f>IF(E236="","Waiting","Calibrated")</f>
        <v/>
      </c>
      <c r="O236" s="2" t="n"/>
      <c r="P236" s="2" t="inlineStr">
        <is>
          <t>ZM06</t>
        </is>
      </c>
      <c r="Q236" s="2" t="n"/>
      <c r="R236" s="28" t="n"/>
      <c r="S236" s="28" t="n"/>
      <c r="T236" s="32" t="n"/>
    </row>
    <row r="237" ht="30" customFormat="1" customHeight="1" s="5">
      <c r="A237" s="17" t="n">
        <v>235</v>
      </c>
      <c r="B237" s="17" t="inlineStr">
        <is>
          <t>KIPP11</t>
        </is>
      </c>
      <c r="C237" s="2" t="inlineStr">
        <is>
          <t>11MBX21CP002</t>
        </is>
      </c>
      <c r="D237" s="14" t="inlineStr">
        <is>
          <t>P AFT PWR OIL PMP 1</t>
        </is>
      </c>
      <c r="E237" s="37" t="n">
        <v>46044</v>
      </c>
      <c r="F237" s="103" t="n">
        <v>-1.01</v>
      </c>
      <c r="G237" s="103" t="n">
        <v>55.16</v>
      </c>
      <c r="H237" s="103" t="n">
        <v>0</v>
      </c>
      <c r="I237" s="103" t="n">
        <v>52</v>
      </c>
      <c r="J237" s="4" t="inlineStr">
        <is>
          <t>Bar</t>
        </is>
      </c>
      <c r="K237" s="19" t="inlineStr">
        <is>
          <t>ROSEMOUNT</t>
        </is>
      </c>
      <c r="L237" s="19" t="inlineStr">
        <is>
          <t>2088 PT</t>
        </is>
      </c>
      <c r="M237" s="20" t="n">
        <v>9791824</v>
      </c>
      <c r="N237" s="2">
        <f>IF(E237="","Waiting","Calibrated")</f>
        <v/>
      </c>
      <c r="O237" s="2" t="n"/>
      <c r="P237" s="2" t="inlineStr">
        <is>
          <t>ZM06</t>
        </is>
      </c>
      <c r="Q237" s="2" t="n"/>
      <c r="R237" s="28" t="n"/>
      <c r="S237" s="28" t="n"/>
      <c r="T237" s="32" t="n"/>
    </row>
    <row r="238" ht="30" customFormat="1" customHeight="1" s="5">
      <c r="A238" s="17" t="n">
        <v>236</v>
      </c>
      <c r="B238" s="17" t="inlineStr">
        <is>
          <t>KIPP11</t>
        </is>
      </c>
      <c r="C238" s="2" t="inlineStr">
        <is>
          <t>11MBX21CP010</t>
        </is>
      </c>
      <c r="D238" s="14" t="inlineStr">
        <is>
          <t>GT P/O TWIN FILTER PDT</t>
        </is>
      </c>
      <c r="E238" s="37" t="n">
        <v>46044</v>
      </c>
      <c r="F238" s="103" t="n">
        <v>-20.684</v>
      </c>
      <c r="G238" s="103" t="n">
        <v>20.684</v>
      </c>
      <c r="H238" s="103" t="n">
        <v>-2</v>
      </c>
      <c r="I238" s="103" t="n">
        <v>8</v>
      </c>
      <c r="J238" s="4" t="inlineStr">
        <is>
          <t>Bar</t>
        </is>
      </c>
      <c r="K238" s="19" t="inlineStr">
        <is>
          <t>ROSEMOUNT</t>
        </is>
      </c>
      <c r="L238" s="19" t="inlineStr">
        <is>
          <t>3051CD</t>
        </is>
      </c>
      <c r="M238" s="20" t="n">
        <v>9782033</v>
      </c>
      <c r="N238" s="2">
        <f>IF(E238="","Waiting","Calibrated")</f>
        <v/>
      </c>
      <c r="O238" s="2" t="n"/>
      <c r="P238" s="2" t="inlineStr">
        <is>
          <t>ZM06</t>
        </is>
      </c>
      <c r="Q238" s="2" t="n"/>
      <c r="R238" s="28" t="n"/>
      <c r="S238" s="28" t="n"/>
      <c r="T238" s="32" t="n"/>
    </row>
    <row r="239" ht="30" customFormat="1" customHeight="1" s="5">
      <c r="A239" s="17" t="n">
        <v>237</v>
      </c>
      <c r="B239" s="17" t="inlineStr">
        <is>
          <t>KIPP11</t>
        </is>
      </c>
      <c r="C239" s="2" t="inlineStr">
        <is>
          <t>11MBX42CP001</t>
        </is>
      </c>
      <c r="D239" s="14" t="inlineStr">
        <is>
          <t>P HYDR SAFETY SYS</t>
        </is>
      </c>
      <c r="E239" s="37" t="n">
        <v>46044</v>
      </c>
      <c r="F239" s="103" t="n">
        <v>-137.89</v>
      </c>
      <c r="G239" s="103" t="n">
        <v>137.89</v>
      </c>
      <c r="H239" s="103" t="n">
        <v>0</v>
      </c>
      <c r="I239" s="103" t="inlineStr">
        <is>
          <t>60</t>
        </is>
      </c>
      <c r="J239" s="4" t="inlineStr">
        <is>
          <t>Bar</t>
        </is>
      </c>
      <c r="K239" s="19" t="inlineStr">
        <is>
          <t>ROSEMOUNT</t>
        </is>
      </c>
      <c r="L239" s="19" t="inlineStr">
        <is>
          <t>3051 PT</t>
        </is>
      </c>
      <c r="M239" s="19" t="n">
        <v>9782034</v>
      </c>
      <c r="N239" s="2">
        <f>IF(E239="","Waiting","Calibrated")</f>
        <v/>
      </c>
      <c r="O239" s="2" t="n"/>
      <c r="P239" s="2" t="inlineStr">
        <is>
          <t>ZM06</t>
        </is>
      </c>
      <c r="Q239" s="2" t="n"/>
      <c r="R239" s="28" t="n"/>
      <c r="S239" s="28" t="n"/>
      <c r="T239" s="32" t="n"/>
    </row>
    <row r="240" ht="30" customFormat="1" customHeight="1" s="5">
      <c r="A240" s="17" t="n">
        <v>238</v>
      </c>
      <c r="B240" s="17" t="inlineStr">
        <is>
          <t>KIPP12</t>
        </is>
      </c>
      <c r="C240" s="2" t="inlineStr">
        <is>
          <t>12EKG40CP101</t>
        </is>
      </c>
      <c r="D240" s="14" t="inlineStr">
        <is>
          <t>FG PERFORMANCE HEATER SKID OUTLET PRESS</t>
        </is>
      </c>
      <c r="E240" s="37" t="n"/>
      <c r="F240" s="103" t="n">
        <v>-1</v>
      </c>
      <c r="G240" s="103" t="n">
        <v>100</v>
      </c>
      <c r="H240" s="103" t="n">
        <v>0</v>
      </c>
      <c r="I240" s="103" t="n">
        <v>61</v>
      </c>
      <c r="J240" s="4" t="inlineStr">
        <is>
          <t>Bar</t>
        </is>
      </c>
      <c r="K240" s="19" t="inlineStr">
        <is>
          <t>YOKOGAWA</t>
        </is>
      </c>
      <c r="L240" s="19" t="inlineStr">
        <is>
          <t>EJA530E</t>
        </is>
      </c>
      <c r="M240" s="19" t="inlineStr">
        <is>
          <t>91S313314</t>
        </is>
      </c>
      <c r="N240" s="2">
        <f>IF(E240="","Waiting","Calibrated")</f>
        <v/>
      </c>
      <c r="O240" s="2" t="n"/>
      <c r="P240" s="2" t="inlineStr">
        <is>
          <t>ZM06</t>
        </is>
      </c>
      <c r="Q240" s="2" t="n"/>
      <c r="R240" s="28" t="n"/>
      <c r="S240" s="28" t="n"/>
      <c r="T240" s="32" t="n"/>
    </row>
    <row r="241" ht="30" customFormat="1" customHeight="1" s="5">
      <c r="A241" s="17" t="n">
        <v>239</v>
      </c>
      <c r="B241" s="17" t="inlineStr">
        <is>
          <t>KIPP12</t>
        </is>
      </c>
      <c r="C241" s="2" t="inlineStr">
        <is>
          <t>12HAC22CF002</t>
        </is>
      </c>
      <c r="D241" s="14" t="inlineStr">
        <is>
          <t>LP FW FT 1</t>
        </is>
      </c>
      <c r="E241" s="37" t="n"/>
      <c r="F241" s="103" t="n">
        <v>-621.6</v>
      </c>
      <c r="G241" s="103" t="n">
        <v>621.6</v>
      </c>
      <c r="H241" s="103" t="n">
        <v>0</v>
      </c>
      <c r="I241" s="103" t="n">
        <v>316</v>
      </c>
      <c r="J241" s="4" t="inlineStr">
        <is>
          <t>mBar</t>
        </is>
      </c>
      <c r="K241" s="19" t="inlineStr">
        <is>
          <t>ROSEMOUNT</t>
        </is>
      </c>
      <c r="L241" s="19" t="inlineStr">
        <is>
          <t>2051 PT</t>
        </is>
      </c>
      <c r="M241" s="19" t="n">
        <v>214484</v>
      </c>
      <c r="N241" s="2">
        <f>IF(E241="","Waiting","Calibrated")</f>
        <v/>
      </c>
      <c r="O241" s="2" t="n"/>
      <c r="P241" s="2" t="inlineStr">
        <is>
          <t>ZM06</t>
        </is>
      </c>
      <c r="Q241" s="2" t="n"/>
      <c r="R241" s="28" t="n"/>
      <c r="S241" s="28" t="inlineStr">
        <is>
          <t>12LAB46GH101</t>
        </is>
      </c>
      <c r="T241" s="32" t="n"/>
    </row>
    <row r="242" ht="30" customFormat="1" customHeight="1" s="5">
      <c r="A242" s="17" t="n">
        <v>240</v>
      </c>
      <c r="B242" s="17" t="inlineStr">
        <is>
          <t>KIPP12</t>
        </is>
      </c>
      <c r="C242" s="2" t="inlineStr">
        <is>
          <t>12HAC22CF003</t>
        </is>
      </c>
      <c r="D242" s="14" t="inlineStr">
        <is>
          <t>LP FW FT 2</t>
        </is>
      </c>
      <c r="E242" s="37" t="n"/>
      <c r="F242" s="103" t="n">
        <v>-621.6</v>
      </c>
      <c r="G242" s="103" t="n">
        <v>621.6</v>
      </c>
      <c r="H242" s="103" t="n">
        <v>0</v>
      </c>
      <c r="I242" s="103" t="n">
        <v>316</v>
      </c>
      <c r="J242" s="4" t="inlineStr">
        <is>
          <t>mBar</t>
        </is>
      </c>
      <c r="K242" s="19" t="inlineStr">
        <is>
          <t>ROSEMOUNT</t>
        </is>
      </c>
      <c r="L242" s="19" t="inlineStr">
        <is>
          <t>2051 PT</t>
        </is>
      </c>
      <c r="M242" s="19" t="n">
        <v>214485</v>
      </c>
      <c r="N242" s="2">
        <f>IF(E242="","Waiting","Calibrated")</f>
        <v/>
      </c>
      <c r="O242" s="2" t="n"/>
      <c r="P242" s="2" t="inlineStr">
        <is>
          <t>ZM06</t>
        </is>
      </c>
      <c r="Q242" s="2" t="n"/>
      <c r="R242" s="28" t="n"/>
      <c r="S242" s="28" t="inlineStr">
        <is>
          <t>12LAB46GH101</t>
        </is>
      </c>
      <c r="T242" s="32" t="n"/>
    </row>
    <row r="243" ht="30" customFormat="1" customHeight="1" s="5">
      <c r="A243" s="17" t="n">
        <v>241</v>
      </c>
      <c r="B243" s="17" t="inlineStr">
        <is>
          <t>KIPP12</t>
        </is>
      </c>
      <c r="C243" s="2" t="inlineStr">
        <is>
          <t>12HAC25CF002</t>
        </is>
      </c>
      <c r="D243" s="14" t="inlineStr">
        <is>
          <t>IP DRUM FW FLOW A</t>
        </is>
      </c>
      <c r="E243" s="37" t="n"/>
      <c r="F243" s="103" t="n">
        <v>-621.6</v>
      </c>
      <c r="G243" s="103" t="n">
        <v>621.6</v>
      </c>
      <c r="H243" s="103" t="n">
        <v>0</v>
      </c>
      <c r="I243" s="103" t="n">
        <v>460</v>
      </c>
      <c r="J243" s="4" t="inlineStr">
        <is>
          <t>mBar</t>
        </is>
      </c>
      <c r="K243" s="33" t="inlineStr">
        <is>
          <t>ROSEMOUNT</t>
        </is>
      </c>
      <c r="L243" s="33" t="inlineStr">
        <is>
          <t>2051 PT</t>
        </is>
      </c>
      <c r="M243" s="20" t="n">
        <v>214478</v>
      </c>
      <c r="N243" s="2">
        <f>IF(E243="","Waiting","Calibrated")</f>
        <v/>
      </c>
      <c r="O243" s="2" t="n"/>
      <c r="P243" s="2" t="inlineStr">
        <is>
          <t>ZM06</t>
        </is>
      </c>
      <c r="Q243" s="2" t="n"/>
      <c r="R243" s="28" t="n"/>
      <c r="S243" s="28" t="inlineStr">
        <is>
          <t>12HAC25GH101</t>
        </is>
      </c>
      <c r="T243" s="32" t="n"/>
    </row>
    <row r="244" ht="30" customFormat="1" customHeight="1" s="5">
      <c r="A244" s="17" t="n">
        <v>242</v>
      </c>
      <c r="B244" s="17" t="inlineStr">
        <is>
          <t>KIPP12</t>
        </is>
      </c>
      <c r="C244" s="2" t="inlineStr">
        <is>
          <t>12HAC25CF003</t>
        </is>
      </c>
      <c r="D244" s="14" t="inlineStr">
        <is>
          <t>IP DRUM FW FLOW B</t>
        </is>
      </c>
      <c r="E244" s="37" t="n"/>
      <c r="F244" s="103" t="n">
        <v>-621.6</v>
      </c>
      <c r="G244" s="103" t="n">
        <v>621.6</v>
      </c>
      <c r="H244" s="103" t="n">
        <v>0</v>
      </c>
      <c r="I244" s="103" t="n">
        <v>460</v>
      </c>
      <c r="J244" s="4" t="inlineStr">
        <is>
          <t>mBar</t>
        </is>
      </c>
      <c r="K244" s="33" t="inlineStr">
        <is>
          <t>ROSEMOUNT</t>
        </is>
      </c>
      <c r="L244" s="33" t="inlineStr">
        <is>
          <t>2051 PT</t>
        </is>
      </c>
      <c r="M244" s="20" t="n">
        <v>214479</v>
      </c>
      <c r="N244" s="2">
        <f>IF(E244="","Waiting","Calibrated")</f>
        <v/>
      </c>
      <c r="O244" s="2" t="n"/>
      <c r="P244" s="2" t="inlineStr">
        <is>
          <t>ZM06</t>
        </is>
      </c>
      <c r="Q244" s="2" t="n"/>
      <c r="R244" s="28" t="n"/>
      <c r="S244" s="28" t="inlineStr">
        <is>
          <t>12HAC25GH101</t>
        </is>
      </c>
      <c r="T244" s="32" t="n"/>
    </row>
    <row r="245" ht="30" customFormat="1" customHeight="1" s="5">
      <c r="A245" s="17" t="n">
        <v>243</v>
      </c>
      <c r="B245" s="17" t="inlineStr">
        <is>
          <t>KIPP12</t>
        </is>
      </c>
      <c r="C245" s="2" t="inlineStr">
        <is>
          <t>12HAC25CP001</t>
        </is>
      </c>
      <c r="D245" s="14" t="inlineStr">
        <is>
          <t>IP ECO O/L PT</t>
        </is>
      </c>
      <c r="E245" s="37" t="n"/>
      <c r="F245" s="103" t="n">
        <v>-1.01</v>
      </c>
      <c r="G245" s="103" t="n">
        <v>275.79</v>
      </c>
      <c r="H245" s="103" t="n">
        <v>0</v>
      </c>
      <c r="I245" s="103" t="n">
        <v>100</v>
      </c>
      <c r="J245" s="4" t="inlineStr">
        <is>
          <t>Bar</t>
        </is>
      </c>
      <c r="K245" s="33" t="inlineStr">
        <is>
          <t>ROSEMOUNT</t>
        </is>
      </c>
      <c r="L245" s="33" t="inlineStr">
        <is>
          <t>2051TG</t>
        </is>
      </c>
      <c r="M245" s="20" t="n">
        <v>210444</v>
      </c>
      <c r="N245" s="2">
        <f>IF(E245="","Waiting","Calibrated")</f>
        <v/>
      </c>
      <c r="O245" s="2" t="n"/>
      <c r="P245" s="2" t="inlineStr">
        <is>
          <t>ZM06</t>
        </is>
      </c>
      <c r="Q245" s="2" t="n"/>
      <c r="R245" s="28" t="n"/>
      <c r="S245" s="28" t="inlineStr">
        <is>
          <t>12HAC25GH101</t>
        </is>
      </c>
      <c r="T245" s="32" t="n"/>
    </row>
    <row r="246" ht="30" customFormat="1" customHeight="1" s="5">
      <c r="A246" s="17" t="n">
        <v>244</v>
      </c>
      <c r="B246" s="17" t="inlineStr">
        <is>
          <t>KIPP12</t>
        </is>
      </c>
      <c r="C246" s="2" t="inlineStr">
        <is>
          <t>12HAC58CF002</t>
        </is>
      </c>
      <c r="D246" s="14" t="inlineStr">
        <is>
          <t>HP ECO O/L FT 1</t>
        </is>
      </c>
      <c r="E246" s="37" t="n"/>
      <c r="F246" s="103" t="n">
        <v>-621.6</v>
      </c>
      <c r="G246" s="103" t="n">
        <v>621.6</v>
      </c>
      <c r="H246" s="103" t="n">
        <v>0</v>
      </c>
      <c r="I246" s="103" t="n">
        <v>302</v>
      </c>
      <c r="J246" s="4" t="inlineStr">
        <is>
          <t>mBar</t>
        </is>
      </c>
      <c r="K246" s="33" t="inlineStr">
        <is>
          <t>ROSEMOUNT</t>
        </is>
      </c>
      <c r="L246" s="33" t="inlineStr">
        <is>
          <t>2051 CD</t>
        </is>
      </c>
      <c r="M246" s="20" t="n">
        <v>214463</v>
      </c>
      <c r="N246" s="2">
        <f>IF(E246="","Waiting","Calibrated")</f>
        <v/>
      </c>
      <c r="O246" s="2" t="n"/>
      <c r="P246" s="2" t="inlineStr">
        <is>
          <t>ZM06</t>
        </is>
      </c>
      <c r="Q246" s="2" t="n"/>
      <c r="R246" s="28" t="n"/>
      <c r="S246" s="28" t="inlineStr">
        <is>
          <t>12HAC58GH101</t>
        </is>
      </c>
      <c r="T246" s="32" t="n"/>
    </row>
    <row r="247" ht="30" customFormat="1" customHeight="1" s="5">
      <c r="A247" s="17" t="n">
        <v>245</v>
      </c>
      <c r="B247" s="17" t="inlineStr">
        <is>
          <t>KIPP12</t>
        </is>
      </c>
      <c r="C247" s="2" t="inlineStr">
        <is>
          <t>12HAC58CF003</t>
        </is>
      </c>
      <c r="D247" s="14" t="inlineStr">
        <is>
          <t>HP ECO O/L FT 2</t>
        </is>
      </c>
      <c r="E247" s="37" t="n"/>
      <c r="F247" s="103" t="n">
        <v>-621.6</v>
      </c>
      <c r="G247" s="103" t="n">
        <v>621.6</v>
      </c>
      <c r="H247" s="103" t="n">
        <v>0</v>
      </c>
      <c r="I247" s="103" t="n">
        <v>302</v>
      </c>
      <c r="J247" s="4" t="inlineStr">
        <is>
          <t>mBar</t>
        </is>
      </c>
      <c r="K247" s="33" t="inlineStr">
        <is>
          <t>ROSEMOUNT</t>
        </is>
      </c>
      <c r="L247" s="33" t="inlineStr">
        <is>
          <t>2051 CD</t>
        </is>
      </c>
      <c r="M247" s="20" t="n">
        <v>214464</v>
      </c>
      <c r="N247" s="2">
        <f>IF(E247="","Waiting","Calibrated")</f>
        <v/>
      </c>
      <c r="O247" s="2" t="n"/>
      <c r="P247" s="2" t="inlineStr">
        <is>
          <t>ZM06</t>
        </is>
      </c>
      <c r="Q247" s="2" t="n"/>
      <c r="R247" s="28" t="n"/>
      <c r="S247" s="28" t="inlineStr">
        <is>
          <t>12HAC58GH101</t>
        </is>
      </c>
      <c r="T247" s="32" t="n"/>
    </row>
    <row r="248" ht="30" customFormat="1" customHeight="1" s="5">
      <c r="A248" s="17" t="n">
        <v>246</v>
      </c>
      <c r="B248" s="17" t="inlineStr">
        <is>
          <t>KIPP12</t>
        </is>
      </c>
      <c r="C248" s="2" t="inlineStr">
        <is>
          <t>12HAC58CP001</t>
        </is>
      </c>
      <c r="D248" s="14" t="inlineStr">
        <is>
          <t>HP ECO O/L PT</t>
        </is>
      </c>
      <c r="E248" s="37" t="n"/>
      <c r="F248" s="103" t="n">
        <v>0</v>
      </c>
      <c r="G248" s="103" t="n">
        <v>689.7</v>
      </c>
      <c r="H248" s="103" t="n">
        <v>0</v>
      </c>
      <c r="I248" s="103" t="n">
        <v>300</v>
      </c>
      <c r="J248" s="4" t="inlineStr">
        <is>
          <t>Bar</t>
        </is>
      </c>
      <c r="K248" s="33" t="inlineStr">
        <is>
          <t>ROSEMOUNT</t>
        </is>
      </c>
      <c r="L248" s="33" t="inlineStr">
        <is>
          <t>2050TG</t>
        </is>
      </c>
      <c r="M248" s="20" t="n">
        <v>210438</v>
      </c>
      <c r="N248" s="2">
        <f>IF(E248="","Waiting","Calibrated")</f>
        <v/>
      </c>
      <c r="O248" s="2" t="n"/>
      <c r="P248" s="2" t="inlineStr">
        <is>
          <t>ZM06</t>
        </is>
      </c>
      <c r="Q248" s="2" t="n"/>
      <c r="R248" s="28" t="n"/>
      <c r="S248" s="28" t="inlineStr">
        <is>
          <t>12HAC58GH101</t>
        </is>
      </c>
      <c r="T248" s="32" t="n"/>
    </row>
    <row r="249" ht="30" customFormat="1" customHeight="1" s="5">
      <c r="A249" s="17" t="n">
        <v>247</v>
      </c>
      <c r="B249" s="17" t="inlineStr">
        <is>
          <t>KIPP12</t>
        </is>
      </c>
      <c r="C249" s="2" t="inlineStr">
        <is>
          <t>12HAD10CL001</t>
        </is>
      </c>
      <c r="D249" s="14" t="inlineStr">
        <is>
          <t>LP DRUM LT 1</t>
        </is>
      </c>
      <c r="E249" s="37" t="n"/>
      <c r="F249" s="103" t="n">
        <v>-6350</v>
      </c>
      <c r="G249" s="103" t="n">
        <v>6350</v>
      </c>
      <c r="H249" s="103" t="n">
        <v>-39</v>
      </c>
      <c r="I249" s="103" t="n">
        <v>-1294</v>
      </c>
      <c r="J249" s="4" t="inlineStr">
        <is>
          <t>mmH2O</t>
        </is>
      </c>
      <c r="K249" s="33" t="inlineStr">
        <is>
          <t>ROSEMOUNT</t>
        </is>
      </c>
      <c r="L249" s="33" t="inlineStr">
        <is>
          <t>2051 PT</t>
        </is>
      </c>
      <c r="M249" s="20" t="n">
        <v>3576021</v>
      </c>
      <c r="N249" s="2">
        <f>IF(E249="","Waiting","Calibrated")</f>
        <v/>
      </c>
      <c r="O249" s="2" t="n"/>
      <c r="P249" s="2" t="inlineStr">
        <is>
          <t>ZM06</t>
        </is>
      </c>
      <c r="Q249" s="2" t="n"/>
      <c r="R249" s="28" t="n"/>
      <c r="S249" s="28" t="inlineStr">
        <is>
          <t>12HAC25GH101</t>
        </is>
      </c>
      <c r="T249" s="32" t="n"/>
    </row>
    <row r="250" ht="30" customFormat="1" customHeight="1" s="5">
      <c r="A250" s="17" t="n">
        <v>248</v>
      </c>
      <c r="B250" s="17" t="inlineStr">
        <is>
          <t>KIPP12</t>
        </is>
      </c>
      <c r="C250" s="2" t="inlineStr">
        <is>
          <t>12HAD10CL002</t>
        </is>
      </c>
      <c r="D250" s="14" t="inlineStr">
        <is>
          <t>LP DRUM LT 2</t>
        </is>
      </c>
      <c r="E250" s="37" t="n"/>
      <c r="F250" s="103" t="n">
        <v>-6350</v>
      </c>
      <c r="G250" s="103" t="n">
        <v>6350</v>
      </c>
      <c r="H250" s="103" t="n">
        <v>-39</v>
      </c>
      <c r="I250" s="103" t="n">
        <v>-1294</v>
      </c>
      <c r="J250" s="4" t="inlineStr">
        <is>
          <t>mmH2O</t>
        </is>
      </c>
      <c r="K250" s="33" t="inlineStr">
        <is>
          <t>ROSEMOUNT</t>
        </is>
      </c>
      <c r="L250" s="33" t="inlineStr">
        <is>
          <t>2051 PT</t>
        </is>
      </c>
      <c r="M250" s="20" t="n">
        <v>3576022</v>
      </c>
      <c r="N250" s="2">
        <f>IF(E250="","Waiting","Calibrated")</f>
        <v/>
      </c>
      <c r="O250" s="2" t="n"/>
      <c r="P250" s="2" t="inlineStr">
        <is>
          <t>ZM06</t>
        </is>
      </c>
      <c r="Q250" s="2" t="n"/>
      <c r="R250" s="28" t="n"/>
      <c r="S250" s="28" t="inlineStr">
        <is>
          <t>12HAD50GH102</t>
        </is>
      </c>
      <c r="T250" s="32" t="n"/>
    </row>
    <row r="251" ht="30" customFormat="1" customHeight="1" s="5">
      <c r="A251" s="17" t="n">
        <v>249</v>
      </c>
      <c r="B251" s="17" t="inlineStr">
        <is>
          <t>KIPP12</t>
        </is>
      </c>
      <c r="C251" s="2" t="inlineStr">
        <is>
          <t>12HAD10CL003</t>
        </is>
      </c>
      <c r="D251" s="14" t="inlineStr">
        <is>
          <t>LP DRUM LT 3</t>
        </is>
      </c>
      <c r="E251" s="37" t="n"/>
      <c r="F251" s="103" t="n">
        <v>-6350</v>
      </c>
      <c r="G251" s="103" t="n">
        <v>6350</v>
      </c>
      <c r="H251" s="103" t="n">
        <v>-39</v>
      </c>
      <c r="I251" s="103" t="n">
        <v>-1294</v>
      </c>
      <c r="J251" s="4" t="inlineStr">
        <is>
          <t>mmH2O</t>
        </is>
      </c>
      <c r="K251" s="33" t="inlineStr">
        <is>
          <t>ROSEMOUNT</t>
        </is>
      </c>
      <c r="L251" s="33" t="inlineStr">
        <is>
          <t>2051 PT</t>
        </is>
      </c>
      <c r="M251" s="20" t="n">
        <v>3576023</v>
      </c>
      <c r="N251" s="2">
        <f>IF(E251="","Waiting","Calibrated")</f>
        <v/>
      </c>
      <c r="O251" s="2" t="n"/>
      <c r="P251" s="2" t="inlineStr">
        <is>
          <t>ZM06</t>
        </is>
      </c>
      <c r="Q251" s="2" t="n"/>
      <c r="R251" s="28" t="n"/>
      <c r="S251" s="28" t="inlineStr">
        <is>
          <t>12HAD50GH102</t>
        </is>
      </c>
      <c r="T251" s="32" t="n"/>
    </row>
    <row r="252" ht="30" customFormat="1" customHeight="1" s="5">
      <c r="A252" s="17" t="n">
        <v>250</v>
      </c>
      <c r="B252" s="17" t="inlineStr">
        <is>
          <t>KIPP12</t>
        </is>
      </c>
      <c r="C252" s="2" t="inlineStr">
        <is>
          <t>12HAD10CP001</t>
        </is>
      </c>
      <c r="D252" s="14" t="inlineStr">
        <is>
          <t>LP DRUM PT 1</t>
        </is>
      </c>
      <c r="E252" s="37" t="n"/>
      <c r="F252" s="103" t="n">
        <v>-1.01</v>
      </c>
      <c r="G252" s="103" t="n">
        <v>55.16</v>
      </c>
      <c r="H252" s="103" t="n">
        <v>0</v>
      </c>
      <c r="I252" s="103" t="n">
        <v>15</v>
      </c>
      <c r="J252" s="4" t="inlineStr">
        <is>
          <t>Bar</t>
        </is>
      </c>
      <c r="K252" s="19" t="inlineStr">
        <is>
          <t>ROSEMOUNT</t>
        </is>
      </c>
      <c r="L252" s="19" t="inlineStr">
        <is>
          <t>2051 PT</t>
        </is>
      </c>
      <c r="M252" s="20" t="n">
        <v>3576030</v>
      </c>
      <c r="N252" s="2">
        <f>IF(E252="","Waiting","Calibrated")</f>
        <v/>
      </c>
      <c r="O252" s="2" t="n"/>
      <c r="P252" s="2" t="inlineStr">
        <is>
          <t>ZM06</t>
        </is>
      </c>
      <c r="Q252" s="2" t="n"/>
      <c r="R252" s="28" t="n"/>
      <c r="S252" s="28" t="inlineStr">
        <is>
          <t>12HAD30GH101</t>
        </is>
      </c>
      <c r="T252" s="32" t="n"/>
    </row>
    <row r="253" ht="30" customFormat="1" customHeight="1" s="5">
      <c r="A253" s="17" t="n">
        <v>251</v>
      </c>
      <c r="B253" s="17" t="inlineStr">
        <is>
          <t>KIPP12</t>
        </is>
      </c>
      <c r="C253" s="2" t="inlineStr">
        <is>
          <t>12HAD10CP002</t>
        </is>
      </c>
      <c r="D253" s="14" t="inlineStr">
        <is>
          <t>LP DRUM PT 2</t>
        </is>
      </c>
      <c r="E253" s="37" t="n"/>
      <c r="F253" s="103" t="n">
        <v>-1.01</v>
      </c>
      <c r="G253" s="103" t="n">
        <v>55.16</v>
      </c>
      <c r="H253" s="103" t="n">
        <v>0</v>
      </c>
      <c r="I253" s="103" t="n">
        <v>15</v>
      </c>
      <c r="J253" s="4" t="inlineStr">
        <is>
          <t>Bar</t>
        </is>
      </c>
      <c r="K253" s="19" t="inlineStr">
        <is>
          <t>ROSEMOUNT</t>
        </is>
      </c>
      <c r="L253" s="19" t="inlineStr">
        <is>
          <t>2051 PT</t>
        </is>
      </c>
      <c r="M253" s="20" t="n">
        <v>3576031</v>
      </c>
      <c r="N253" s="2">
        <f>IF(E253="","Waiting","Calibrated")</f>
        <v/>
      </c>
      <c r="O253" s="2" t="n"/>
      <c r="P253" s="2" t="inlineStr">
        <is>
          <t>ZM06</t>
        </is>
      </c>
      <c r="Q253" s="2" t="n"/>
      <c r="R253" s="28" t="n"/>
      <c r="S253" s="28" t="inlineStr">
        <is>
          <t>12HAD30GH101</t>
        </is>
      </c>
      <c r="T253" s="32" t="n"/>
    </row>
    <row r="254" ht="30" customFormat="1" customHeight="1" s="5">
      <c r="A254" s="17" t="n">
        <v>252</v>
      </c>
      <c r="B254" s="17" t="inlineStr">
        <is>
          <t>KIPP12</t>
        </is>
      </c>
      <c r="C254" s="2" t="inlineStr">
        <is>
          <t>12HAD10CP003</t>
        </is>
      </c>
      <c r="D254" s="14" t="inlineStr">
        <is>
          <t>LP DRUM PT 3</t>
        </is>
      </c>
      <c r="E254" s="37" t="n"/>
      <c r="F254" s="103" t="n">
        <v>-1.01</v>
      </c>
      <c r="G254" s="103" t="n">
        <v>55.16</v>
      </c>
      <c r="H254" s="103" t="n">
        <v>0</v>
      </c>
      <c r="I254" s="103" t="n">
        <v>15</v>
      </c>
      <c r="J254" s="4" t="inlineStr">
        <is>
          <t>Bar</t>
        </is>
      </c>
      <c r="K254" s="19" t="inlineStr">
        <is>
          <t>ROSEMOUNT</t>
        </is>
      </c>
      <c r="L254" s="19" t="inlineStr">
        <is>
          <t>2051 PT</t>
        </is>
      </c>
      <c r="M254" s="20" t="n">
        <v>3576032</v>
      </c>
      <c r="N254" s="2">
        <f>IF(E254="","Waiting","Calibrated")</f>
        <v/>
      </c>
      <c r="O254" s="2" t="n"/>
      <c r="P254" s="2" t="inlineStr">
        <is>
          <t>ZM06</t>
        </is>
      </c>
      <c r="Q254" s="2" t="n"/>
      <c r="R254" s="28" t="n"/>
      <c r="S254" s="28" t="inlineStr">
        <is>
          <t>12HAD30GH101</t>
        </is>
      </c>
      <c r="T254" s="32" t="n"/>
    </row>
    <row r="255" ht="30" customFormat="1" customHeight="1" s="5">
      <c r="A255" s="17" t="n">
        <v>253</v>
      </c>
      <c r="B255" s="17" t="inlineStr">
        <is>
          <t>KIPP12</t>
        </is>
      </c>
      <c r="C255" s="2" t="inlineStr">
        <is>
          <t>12HAD30CL001</t>
        </is>
      </c>
      <c r="D255" s="14" t="inlineStr">
        <is>
          <t>IP DRUM LT 1</t>
        </is>
      </c>
      <c r="E255" s="37" t="n"/>
      <c r="F255" s="103" t="n">
        <v>-6350</v>
      </c>
      <c r="G255" s="103" t="n">
        <v>6350</v>
      </c>
      <c r="H255" s="103" t="n">
        <v>-34</v>
      </c>
      <c r="I255" s="103" t="n">
        <v>-1143</v>
      </c>
      <c r="J255" s="4" t="inlineStr">
        <is>
          <t>mmH2O</t>
        </is>
      </c>
      <c r="K255" s="33" t="inlineStr">
        <is>
          <t>ROSEMOUNT</t>
        </is>
      </c>
      <c r="L255" s="33" t="inlineStr">
        <is>
          <t>2051 PT</t>
        </is>
      </c>
      <c r="M255" s="20" t="n">
        <v>3576018</v>
      </c>
      <c r="N255" s="2">
        <f>IF(E255="","Waiting","Calibrated")</f>
        <v/>
      </c>
      <c r="O255" s="2" t="n"/>
      <c r="P255" s="2" t="inlineStr">
        <is>
          <t>ZM06</t>
        </is>
      </c>
      <c r="Q255" s="2" t="n"/>
      <c r="R255" s="28" t="n"/>
      <c r="S255" s="28" t="inlineStr">
        <is>
          <t>12HAC25GH101</t>
        </is>
      </c>
      <c r="T255" s="32" t="n"/>
    </row>
    <row r="256" ht="30" customFormat="1" customHeight="1" s="5">
      <c r="A256" s="17" t="n">
        <v>254</v>
      </c>
      <c r="B256" s="17" t="inlineStr">
        <is>
          <t>KIPP12</t>
        </is>
      </c>
      <c r="C256" s="2" t="inlineStr">
        <is>
          <t>12HAD30CL002</t>
        </is>
      </c>
      <c r="D256" s="14" t="inlineStr">
        <is>
          <t>IP DRUM LT 2</t>
        </is>
      </c>
      <c r="E256" s="37" t="n"/>
      <c r="F256" s="103" t="n">
        <v>-6350</v>
      </c>
      <c r="G256" s="103" t="n">
        <v>6350</v>
      </c>
      <c r="H256" s="103" t="n">
        <v>-34</v>
      </c>
      <c r="I256" s="103" t="n">
        <v>-1143</v>
      </c>
      <c r="J256" s="4" t="inlineStr">
        <is>
          <t>mmH2O</t>
        </is>
      </c>
      <c r="K256" s="33" t="inlineStr">
        <is>
          <t>ROSEMOUNT</t>
        </is>
      </c>
      <c r="L256" s="33" t="inlineStr">
        <is>
          <t>2051 PT</t>
        </is>
      </c>
      <c r="M256" s="20" t="n">
        <v>3576019</v>
      </c>
      <c r="N256" s="2">
        <f>IF(E256="","Waiting","Calibrated")</f>
        <v/>
      </c>
      <c r="O256" s="2" t="n"/>
      <c r="P256" s="2" t="inlineStr">
        <is>
          <t>ZM06</t>
        </is>
      </c>
      <c r="Q256" s="2" t="n"/>
      <c r="R256" s="28" t="n"/>
      <c r="S256" s="28" t="inlineStr">
        <is>
          <t>12HAD50GH102</t>
        </is>
      </c>
      <c r="T256" s="32" t="n"/>
    </row>
    <row r="257" ht="30" customFormat="1" customHeight="1" s="5">
      <c r="A257" s="17" t="n">
        <v>255</v>
      </c>
      <c r="B257" s="17" t="inlineStr">
        <is>
          <t>KIPP12</t>
        </is>
      </c>
      <c r="C257" s="2" t="inlineStr">
        <is>
          <t>12HAD30CL003</t>
        </is>
      </c>
      <c r="D257" s="14" t="inlineStr">
        <is>
          <t>IP DRUM LT 3</t>
        </is>
      </c>
      <c r="E257" s="37" t="n"/>
      <c r="F257" s="103" t="n">
        <v>-6350</v>
      </c>
      <c r="G257" s="103" t="n">
        <v>6350</v>
      </c>
      <c r="H257" s="103" t="n">
        <v>-34</v>
      </c>
      <c r="I257" s="103" t="n">
        <v>-1143</v>
      </c>
      <c r="J257" s="4" t="inlineStr">
        <is>
          <t>mmH2O</t>
        </is>
      </c>
      <c r="K257" s="33" t="inlineStr">
        <is>
          <t>ROSEMOUNT</t>
        </is>
      </c>
      <c r="L257" s="33" t="inlineStr">
        <is>
          <t>2051 PT</t>
        </is>
      </c>
      <c r="M257" s="20" t="n">
        <v>3576020</v>
      </c>
      <c r="N257" s="2">
        <f>IF(E257="","Waiting","Calibrated")</f>
        <v/>
      </c>
      <c r="O257" s="2" t="n"/>
      <c r="P257" s="2" t="inlineStr">
        <is>
          <t>ZM06</t>
        </is>
      </c>
      <c r="Q257" s="2" t="n"/>
      <c r="R257" s="28" t="n"/>
      <c r="S257" s="28" t="inlineStr">
        <is>
          <t>12HAD50GH102</t>
        </is>
      </c>
      <c r="T257" s="32" t="n"/>
    </row>
    <row r="258" ht="30" customFormat="1" customHeight="1" s="5">
      <c r="A258" s="17" t="n">
        <v>256</v>
      </c>
      <c r="B258" s="17" t="inlineStr">
        <is>
          <t>KIPP12</t>
        </is>
      </c>
      <c r="C258" s="2" t="inlineStr">
        <is>
          <t>12HAD30CP001</t>
        </is>
      </c>
      <c r="D258" s="14" t="inlineStr">
        <is>
          <t>IP DRUM PT 1</t>
        </is>
      </c>
      <c r="E258" s="37" t="n"/>
      <c r="F258" s="103" t="n">
        <v>-1.01</v>
      </c>
      <c r="G258" s="103" t="n">
        <v>275.79</v>
      </c>
      <c r="H258" s="103" t="n">
        <v>0</v>
      </c>
      <c r="I258" s="103" t="n">
        <v>60</v>
      </c>
      <c r="J258" s="4" t="inlineStr">
        <is>
          <t>Bar</t>
        </is>
      </c>
      <c r="K258" s="19" t="inlineStr">
        <is>
          <t>ROSEMOUNT</t>
        </is>
      </c>
      <c r="L258" s="19" t="inlineStr">
        <is>
          <t>2051 PT</t>
        </is>
      </c>
      <c r="M258" s="20" t="n">
        <v>3576000</v>
      </c>
      <c r="N258" s="2">
        <f>IF(E258="","Waiting","Calibrated")</f>
        <v/>
      </c>
      <c r="O258" s="2" t="n"/>
      <c r="P258" s="2" t="inlineStr">
        <is>
          <t>ZM06</t>
        </is>
      </c>
      <c r="Q258" s="2" t="n"/>
      <c r="R258" s="28" t="n"/>
      <c r="S258" s="28" t="inlineStr">
        <is>
          <t>12HAD30GH101</t>
        </is>
      </c>
      <c r="T258" s="32" t="n"/>
    </row>
    <row r="259" ht="30" customFormat="1" customHeight="1" s="5">
      <c r="A259" s="17" t="n">
        <v>257</v>
      </c>
      <c r="B259" s="17" t="inlineStr">
        <is>
          <t>KIPP12</t>
        </is>
      </c>
      <c r="C259" s="2" t="inlineStr">
        <is>
          <t>12HAD30CP002</t>
        </is>
      </c>
      <c r="D259" s="14" t="inlineStr">
        <is>
          <t>IP DRUM PT 2</t>
        </is>
      </c>
      <c r="E259" s="37" t="n"/>
      <c r="F259" s="103" t="n">
        <v>-1.01</v>
      </c>
      <c r="G259" s="103" t="n">
        <v>275.79</v>
      </c>
      <c r="H259" s="103" t="n">
        <v>0</v>
      </c>
      <c r="I259" s="103" t="n">
        <v>60</v>
      </c>
      <c r="J259" s="4" t="inlineStr">
        <is>
          <t>Bar</t>
        </is>
      </c>
      <c r="K259" s="19" t="inlineStr">
        <is>
          <t>ROSEMOUNT</t>
        </is>
      </c>
      <c r="L259" s="19" t="inlineStr">
        <is>
          <t>2051 PT</t>
        </is>
      </c>
      <c r="M259" s="20" t="n">
        <v>3576001</v>
      </c>
      <c r="N259" s="2">
        <f>IF(E259="","Waiting","Calibrated")</f>
        <v/>
      </c>
      <c r="O259" s="2" t="n"/>
      <c r="P259" s="2" t="inlineStr">
        <is>
          <t>ZM06</t>
        </is>
      </c>
      <c r="Q259" s="2" t="n"/>
      <c r="R259" s="28" t="n"/>
      <c r="S259" s="28" t="inlineStr">
        <is>
          <t>12HAD30GH101</t>
        </is>
      </c>
      <c r="T259" s="32" t="n"/>
    </row>
    <row r="260" ht="30" customFormat="1" customHeight="1" s="5">
      <c r="A260" s="17" t="n">
        <v>258</v>
      </c>
      <c r="B260" s="17" t="inlineStr">
        <is>
          <t>KIPP12</t>
        </is>
      </c>
      <c r="C260" s="2" t="inlineStr">
        <is>
          <t>12HAD30CP003</t>
        </is>
      </c>
      <c r="D260" s="14" t="inlineStr">
        <is>
          <t>IP DRUM PT 3</t>
        </is>
      </c>
      <c r="E260" s="37" t="n"/>
      <c r="F260" s="103" t="n">
        <v>-1.01</v>
      </c>
      <c r="G260" s="103" t="n">
        <v>275.79</v>
      </c>
      <c r="H260" s="103" t="n">
        <v>0</v>
      </c>
      <c r="I260" s="103" t="n">
        <v>60</v>
      </c>
      <c r="J260" s="4" t="inlineStr">
        <is>
          <t>Bar</t>
        </is>
      </c>
      <c r="K260" s="19" t="inlineStr">
        <is>
          <t>ROSEMOUNT</t>
        </is>
      </c>
      <c r="L260" s="19" t="inlineStr">
        <is>
          <t>2051 PT</t>
        </is>
      </c>
      <c r="M260" s="20" t="n">
        <v>3576002</v>
      </c>
      <c r="N260" s="2">
        <f>IF(E260="","Waiting","Calibrated")</f>
        <v/>
      </c>
      <c r="O260" s="2" t="n"/>
      <c r="P260" s="2" t="inlineStr">
        <is>
          <t>ZM06</t>
        </is>
      </c>
      <c r="Q260" s="2" t="n"/>
      <c r="R260" s="28" t="n"/>
      <c r="S260" s="28" t="inlineStr">
        <is>
          <t>12HAD30GH101</t>
        </is>
      </c>
      <c r="T260" s="32" t="n"/>
    </row>
    <row r="261" ht="30" customFormat="1" customHeight="1" s="5">
      <c r="A261" s="17" t="n">
        <v>259</v>
      </c>
      <c r="B261" s="17" t="inlineStr">
        <is>
          <t>KIPP12</t>
        </is>
      </c>
      <c r="C261" s="2" t="inlineStr">
        <is>
          <t>12HAD50CL001</t>
        </is>
      </c>
      <c r="D261" s="14" t="inlineStr">
        <is>
          <t>HP DRUM LT 1</t>
        </is>
      </c>
      <c r="E261" s="37" t="n"/>
      <c r="F261" s="103" t="n">
        <v>-6350</v>
      </c>
      <c r="G261" s="103" t="n">
        <v>6350</v>
      </c>
      <c r="H261" s="103" t="n">
        <v>-39</v>
      </c>
      <c r="I261" s="103" t="n">
        <v>-1294</v>
      </c>
      <c r="J261" s="4" t="inlineStr">
        <is>
          <t>mmH2O</t>
        </is>
      </c>
      <c r="K261" s="33" t="inlineStr">
        <is>
          <t>ROSEMOUNT</t>
        </is>
      </c>
      <c r="L261" s="33" t="inlineStr">
        <is>
          <t>2051 PT</t>
        </is>
      </c>
      <c r="M261" s="20" t="n">
        <v>3576015</v>
      </c>
      <c r="N261" s="2">
        <f>IF(E261="","Waiting","Calibrated")</f>
        <v/>
      </c>
      <c r="O261" s="2" t="n"/>
      <c r="P261" s="2" t="inlineStr">
        <is>
          <t>ZM06</t>
        </is>
      </c>
      <c r="Q261" s="2" t="n"/>
      <c r="R261" s="28" t="n"/>
      <c r="S261" s="28" t="inlineStr">
        <is>
          <t>12HAC25GH101</t>
        </is>
      </c>
      <c r="T261" s="32" t="n"/>
    </row>
    <row r="262" ht="30" customFormat="1" customHeight="1" s="5">
      <c r="A262" s="17" t="n">
        <v>260</v>
      </c>
      <c r="B262" s="17" t="inlineStr">
        <is>
          <t>KIPP12</t>
        </is>
      </c>
      <c r="C262" s="2" t="inlineStr">
        <is>
          <t>12HAD50CL002</t>
        </is>
      </c>
      <c r="D262" s="14" t="inlineStr">
        <is>
          <t>HP DRUM LT 2</t>
        </is>
      </c>
      <c r="E262" s="37" t="n"/>
      <c r="F262" s="103" t="n">
        <v>-6350</v>
      </c>
      <c r="G262" s="103" t="n">
        <v>6350</v>
      </c>
      <c r="H262" s="103" t="n">
        <v>-39</v>
      </c>
      <c r="I262" s="103" t="n">
        <v>-1294</v>
      </c>
      <c r="J262" s="4" t="inlineStr">
        <is>
          <t>mmH2O</t>
        </is>
      </c>
      <c r="K262" s="33" t="inlineStr">
        <is>
          <t>ROSEMOUNT</t>
        </is>
      </c>
      <c r="L262" s="33" t="inlineStr">
        <is>
          <t>2051 PT</t>
        </is>
      </c>
      <c r="M262" s="20" t="n">
        <v>3576016</v>
      </c>
      <c r="N262" s="2">
        <f>IF(E262="","Waiting","Calibrated")</f>
        <v/>
      </c>
      <c r="O262" s="2" t="n"/>
      <c r="P262" s="2" t="inlineStr">
        <is>
          <t>ZM06</t>
        </is>
      </c>
      <c r="Q262" s="2" t="n"/>
      <c r="R262" s="28" t="n"/>
      <c r="S262" s="28" t="inlineStr">
        <is>
          <t>12HAD50GH102</t>
        </is>
      </c>
      <c r="T262" s="32" t="n"/>
    </row>
    <row r="263" ht="30" customFormat="1" customHeight="1" s="5">
      <c r="A263" s="17" t="n">
        <v>261</v>
      </c>
      <c r="B263" s="17" t="inlineStr">
        <is>
          <t>KIPP12</t>
        </is>
      </c>
      <c r="C263" s="2" t="inlineStr">
        <is>
          <t>12HAD50CL003</t>
        </is>
      </c>
      <c r="D263" s="14" t="inlineStr">
        <is>
          <t>HP DRUM LT 3</t>
        </is>
      </c>
      <c r="E263" s="37" t="n"/>
      <c r="F263" s="103" t="n">
        <v>-6350</v>
      </c>
      <c r="G263" s="103" t="n">
        <v>6350</v>
      </c>
      <c r="H263" s="103" t="n">
        <v>-33</v>
      </c>
      <c r="I263" s="103" t="n">
        <v>-1294</v>
      </c>
      <c r="J263" s="4" t="inlineStr">
        <is>
          <t>mmH2O</t>
        </is>
      </c>
      <c r="K263" s="33" t="inlineStr">
        <is>
          <t>ROSEMOUNT</t>
        </is>
      </c>
      <c r="L263" s="33" t="inlineStr">
        <is>
          <t>2051 PT</t>
        </is>
      </c>
      <c r="M263" s="20" t="n">
        <v>3576017</v>
      </c>
      <c r="N263" s="2">
        <f>IF(E263="","Waiting","Calibrated")</f>
        <v/>
      </c>
      <c r="O263" s="2" t="n"/>
      <c r="P263" s="2" t="inlineStr">
        <is>
          <t>ZM06</t>
        </is>
      </c>
      <c r="Q263" s="2" t="n"/>
      <c r="R263" s="28" t="n"/>
      <c r="S263" s="28" t="inlineStr">
        <is>
          <t>12HAD50GH102</t>
        </is>
      </c>
      <c r="T263" s="32" t="n"/>
    </row>
    <row r="264" ht="30" customFormat="1" customHeight="1" s="5">
      <c r="A264" s="17" t="n">
        <v>262</v>
      </c>
      <c r="B264" s="17" t="inlineStr">
        <is>
          <t>KIPP12</t>
        </is>
      </c>
      <c r="C264" s="2" t="inlineStr">
        <is>
          <t>12HAD50CP001</t>
        </is>
      </c>
      <c r="D264" s="14" t="inlineStr">
        <is>
          <t>HP DRUM PT 1</t>
        </is>
      </c>
      <c r="E264" s="37" t="n"/>
      <c r="F264" s="103" t="n">
        <v>0</v>
      </c>
      <c r="G264" s="103" t="n">
        <v>689.5</v>
      </c>
      <c r="H264" s="103" t="n">
        <v>0</v>
      </c>
      <c r="I264" s="103" t="n">
        <v>200</v>
      </c>
      <c r="J264" s="4" t="inlineStr">
        <is>
          <t>Bar</t>
        </is>
      </c>
      <c r="K264" s="19" t="inlineStr">
        <is>
          <t>ROSEMOUNT</t>
        </is>
      </c>
      <c r="L264" s="19" t="inlineStr">
        <is>
          <t>2051 PT</t>
        </is>
      </c>
      <c r="M264" s="20" t="n">
        <v>3575994</v>
      </c>
      <c r="N264" s="2">
        <f>IF(E264="","Waiting","Calibrated")</f>
        <v/>
      </c>
      <c r="O264" s="2" t="n"/>
      <c r="P264" s="2" t="inlineStr">
        <is>
          <t>ZM06</t>
        </is>
      </c>
      <c r="Q264" s="2" t="n"/>
      <c r="R264" s="28" t="n"/>
      <c r="S264" s="28" t="inlineStr">
        <is>
          <t>12HAD50GH101</t>
        </is>
      </c>
      <c r="T264" s="32" t="n"/>
    </row>
    <row r="265" ht="30" customFormat="1" customHeight="1" s="5">
      <c r="A265" s="17" t="n">
        <v>263</v>
      </c>
      <c r="B265" s="17" t="inlineStr">
        <is>
          <t>KIPP12</t>
        </is>
      </c>
      <c r="C265" s="2" t="inlineStr">
        <is>
          <t>12HAD50CP002</t>
        </is>
      </c>
      <c r="D265" s="14" t="inlineStr">
        <is>
          <t>HP DRUM PT 2</t>
        </is>
      </c>
      <c r="E265" s="37" t="n"/>
      <c r="F265" s="103" t="n">
        <v>0</v>
      </c>
      <c r="G265" s="103" t="n">
        <v>689.5</v>
      </c>
      <c r="H265" s="103" t="n">
        <v>0</v>
      </c>
      <c r="I265" s="103" t="n">
        <v>200</v>
      </c>
      <c r="J265" s="4" t="inlineStr">
        <is>
          <t>Bar</t>
        </is>
      </c>
      <c r="K265" s="19" t="inlineStr">
        <is>
          <t>ROSEMOUNT</t>
        </is>
      </c>
      <c r="L265" s="19" t="inlineStr">
        <is>
          <t>2051 PT</t>
        </is>
      </c>
      <c r="M265" s="20" t="n">
        <v>3575995</v>
      </c>
      <c r="N265" s="2">
        <f>IF(E265="","Waiting","Calibrated")</f>
        <v/>
      </c>
      <c r="O265" s="2" t="n"/>
      <c r="P265" s="2" t="inlineStr">
        <is>
          <t>ZM06</t>
        </is>
      </c>
      <c r="Q265" s="2" t="n"/>
      <c r="R265" s="28" t="n"/>
      <c r="S265" s="28" t="inlineStr">
        <is>
          <t>12HAD50GH101</t>
        </is>
      </c>
      <c r="T265" s="32" t="n"/>
    </row>
    <row r="266" ht="30" customFormat="1" customHeight="1" s="5">
      <c r="A266" s="17" t="n">
        <v>264</v>
      </c>
      <c r="B266" s="17" t="inlineStr">
        <is>
          <t>KIPP12</t>
        </is>
      </c>
      <c r="C266" s="2" t="inlineStr">
        <is>
          <t>12HAD50CP003</t>
        </is>
      </c>
      <c r="D266" s="14" t="inlineStr">
        <is>
          <t>HP DRUM PT 3</t>
        </is>
      </c>
      <c r="E266" s="37" t="n"/>
      <c r="F266" s="103" t="n">
        <v>0</v>
      </c>
      <c r="G266" s="103" t="n">
        <v>689.5</v>
      </c>
      <c r="H266" s="103" t="n">
        <v>0</v>
      </c>
      <c r="I266" s="103" t="n">
        <v>200</v>
      </c>
      <c r="J266" s="4" t="inlineStr">
        <is>
          <t>Bar</t>
        </is>
      </c>
      <c r="K266" s="19" t="inlineStr">
        <is>
          <t>ROSEMOUNT</t>
        </is>
      </c>
      <c r="L266" s="19" t="inlineStr">
        <is>
          <t>2051 PT</t>
        </is>
      </c>
      <c r="M266" s="20" t="n">
        <v>3575996</v>
      </c>
      <c r="N266" s="2">
        <f>IF(E266="","Waiting","Calibrated")</f>
        <v/>
      </c>
      <c r="O266" s="2" t="n"/>
      <c r="P266" s="2" t="inlineStr">
        <is>
          <t>ZM06</t>
        </is>
      </c>
      <c r="Q266" s="2" t="n"/>
      <c r="R266" s="28" t="n"/>
      <c r="S266" s="28" t="inlineStr">
        <is>
          <t>12HAD50GH101</t>
        </is>
      </c>
      <c r="T266" s="32" t="n"/>
    </row>
    <row r="267" ht="30" customFormat="1" customHeight="1" s="5">
      <c r="A267" s="17" t="n">
        <v>265</v>
      </c>
      <c r="B267" s="17" t="inlineStr">
        <is>
          <t>KIPP12</t>
        </is>
      </c>
      <c r="C267" s="2" t="inlineStr">
        <is>
          <t>12LAB20CF101</t>
        </is>
      </c>
      <c r="D267" s="14" t="inlineStr">
        <is>
          <t>HP STEAM BYPASS SPRAYAY WATER FT</t>
        </is>
      </c>
      <c r="E267" s="37" t="n"/>
      <c r="F267" s="103" t="n">
        <v>-6350</v>
      </c>
      <c r="G267" s="103" t="n">
        <v>6350</v>
      </c>
      <c r="H267" s="103" t="n">
        <v>0</v>
      </c>
      <c r="I267" s="103" t="n">
        <v>6300</v>
      </c>
      <c r="J267" s="4" t="inlineStr">
        <is>
          <t>mmH2O</t>
        </is>
      </c>
      <c r="K267" s="19" t="inlineStr">
        <is>
          <t>ROSEMOUNT</t>
        </is>
      </c>
      <c r="L267" s="19" t="inlineStr">
        <is>
          <t>2051 PT</t>
        </is>
      </c>
      <c r="M267" s="20" t="n">
        <v>214441</v>
      </c>
      <c r="N267" s="2">
        <f>IF(E267="","Waiting","Calibrated")</f>
        <v/>
      </c>
      <c r="O267" s="2" t="n"/>
      <c r="P267" s="2" t="inlineStr">
        <is>
          <t>ZM06</t>
        </is>
      </c>
      <c r="Q267" s="2" t="n"/>
      <c r="R267" s="28" t="n"/>
      <c r="S267" s="28" t="n"/>
      <c r="T267" s="32" t="n"/>
    </row>
    <row r="268" ht="30" customFormat="1" customHeight="1" s="5">
      <c r="A268" s="17" t="n">
        <v>266</v>
      </c>
      <c r="B268" s="17" t="inlineStr">
        <is>
          <t>KIPP12</t>
        </is>
      </c>
      <c r="C268" s="2" t="inlineStr">
        <is>
          <t>12LAB31CF101</t>
        </is>
      </c>
      <c r="D268" s="14" t="inlineStr">
        <is>
          <t>FW FROM CONDENSATE PREHEATER FT</t>
        </is>
      </c>
      <c r="E268" s="37" t="n"/>
      <c r="F268" s="103" t="n">
        <v>-10197.2</v>
      </c>
      <c r="G268" s="103" t="n">
        <v>10197.2</v>
      </c>
      <c r="H268" s="103" t="n">
        <v>0</v>
      </c>
      <c r="I268" s="103" t="n">
        <v>7500</v>
      </c>
      <c r="J268" s="4" t="inlineStr">
        <is>
          <t>mmH2O</t>
        </is>
      </c>
      <c r="K268" s="19" t="inlineStr">
        <is>
          <t>YOKOGAWA</t>
        </is>
      </c>
      <c r="L268" s="19" t="inlineStr">
        <is>
          <t>EJA110E</t>
        </is>
      </c>
      <c r="M268" s="19" t="inlineStr">
        <is>
          <t>91S313067</t>
        </is>
      </c>
      <c r="N268" s="2">
        <f>IF(E268="","Waiting","Calibrated")</f>
        <v/>
      </c>
      <c r="O268" s="2" t="n"/>
      <c r="P268" s="2" t="inlineStr">
        <is>
          <t>ZM06</t>
        </is>
      </c>
      <c r="Q268" s="2" t="n"/>
      <c r="R268" s="28" t="n"/>
      <c r="S268" s="28" t="inlineStr">
        <is>
          <t>10LAB10GH101</t>
        </is>
      </c>
      <c r="T268" s="32" t="n"/>
    </row>
    <row r="269" ht="30" customFormat="1" customHeight="1" s="5">
      <c r="A269" s="17" t="n">
        <v>267</v>
      </c>
      <c r="B269" s="17" t="inlineStr">
        <is>
          <t>KIPP12</t>
        </is>
      </c>
      <c r="C269" s="2" t="inlineStr">
        <is>
          <t>12LAB46CP001</t>
        </is>
      </c>
      <c r="D269" s="14" t="inlineStr">
        <is>
          <t>IP/LP FW PT</t>
        </is>
      </c>
      <c r="E269" s="37" t="n"/>
      <c r="F269" s="103" t="n">
        <v>-1.01</v>
      </c>
      <c r="G269" s="103" t="n">
        <v>275.79</v>
      </c>
      <c r="H269" s="103" t="n">
        <v>0</v>
      </c>
      <c r="I269" s="103" t="n">
        <v>100</v>
      </c>
      <c r="J269" s="4" t="inlineStr">
        <is>
          <t>Bar</t>
        </is>
      </c>
      <c r="K269" s="19" t="inlineStr">
        <is>
          <t>ROSEMOUNT</t>
        </is>
      </c>
      <c r="L269" s="19" t="inlineStr">
        <is>
          <t>2051 PT</t>
        </is>
      </c>
      <c r="M269" s="20" t="n">
        <v>210448</v>
      </c>
      <c r="N269" s="2">
        <f>IF(E269="","Waiting","Calibrated")</f>
        <v/>
      </c>
      <c r="O269" s="2" t="n"/>
      <c r="P269" s="2" t="inlineStr">
        <is>
          <t>ZM06</t>
        </is>
      </c>
      <c r="Q269" s="2" t="n"/>
      <c r="R269" s="28" t="n"/>
      <c r="S269" s="28" t="inlineStr">
        <is>
          <t>12LAB46GH101</t>
        </is>
      </c>
      <c r="T269" s="32" t="n"/>
    </row>
    <row r="270" ht="30" customFormat="1" customHeight="1" s="5">
      <c r="A270" s="17" t="n">
        <v>268</v>
      </c>
      <c r="B270" s="17" t="inlineStr">
        <is>
          <t>KIPP12</t>
        </is>
      </c>
      <c r="C270" s="2" t="inlineStr">
        <is>
          <t>12LAB96CP001</t>
        </is>
      </c>
      <c r="D270" s="14" t="inlineStr">
        <is>
          <t>HP FW PT</t>
        </is>
      </c>
      <c r="E270" s="37" t="n"/>
      <c r="F270" s="103" t="n">
        <v>0</v>
      </c>
      <c r="G270" s="103" t="n">
        <v>689.5</v>
      </c>
      <c r="H270" s="103" t="n">
        <v>0</v>
      </c>
      <c r="I270" s="103" t="n">
        <v>300</v>
      </c>
      <c r="J270" s="4" t="inlineStr">
        <is>
          <t>Bar</t>
        </is>
      </c>
      <c r="K270" s="19" t="inlineStr">
        <is>
          <t>ROSEMOUNT</t>
        </is>
      </c>
      <c r="L270" s="19" t="inlineStr">
        <is>
          <t>2051 PT</t>
        </is>
      </c>
      <c r="M270" s="20" t="n">
        <v>210442</v>
      </c>
      <c r="N270" s="2">
        <f>IF(E270="","Waiting","Calibrated")</f>
        <v/>
      </c>
      <c r="O270" s="2" t="n"/>
      <c r="P270" s="2" t="inlineStr">
        <is>
          <t>ZM06</t>
        </is>
      </c>
      <c r="Q270" s="2" t="n"/>
      <c r="R270" s="28" t="n"/>
      <c r="S270" s="28" t="inlineStr">
        <is>
          <t>12LAB96GH101</t>
        </is>
      </c>
      <c r="T270" s="32" t="n"/>
    </row>
    <row r="271" ht="30" customFormat="1" customHeight="1" s="5">
      <c r="A271" s="17" t="n">
        <v>269</v>
      </c>
      <c r="B271" s="17" t="inlineStr">
        <is>
          <t>KIPP12</t>
        </is>
      </c>
      <c r="C271" s="2" t="inlineStr">
        <is>
          <t>12LAE50CF002</t>
        </is>
      </c>
      <c r="D271" s="14" t="inlineStr">
        <is>
          <t>HP DESUPERHEATER SPRAY FT 1</t>
        </is>
      </c>
      <c r="E271" s="37" t="n"/>
      <c r="F271" s="103" t="n">
        <v>-621.6</v>
      </c>
      <c r="G271" s="103" t="n">
        <v>621.6</v>
      </c>
      <c r="H271" s="103" t="n">
        <v>0</v>
      </c>
      <c r="I271" s="103" t="n">
        <v>524</v>
      </c>
      <c r="J271" s="4" t="inlineStr">
        <is>
          <t>mBar</t>
        </is>
      </c>
      <c r="K271" s="19" t="inlineStr">
        <is>
          <t>ROSEMOUNT</t>
        </is>
      </c>
      <c r="L271" s="19" t="inlineStr">
        <is>
          <t>2051 PT</t>
        </is>
      </c>
      <c r="M271" s="19" t="n">
        <v>214465</v>
      </c>
      <c r="N271" s="2">
        <f>IF(E271="","Waiting","Calibrated")</f>
        <v/>
      </c>
      <c r="O271" s="2" t="n"/>
      <c r="P271" s="2" t="inlineStr">
        <is>
          <t>ZM06</t>
        </is>
      </c>
      <c r="Q271" s="2" t="n"/>
      <c r="R271" s="28" t="n"/>
      <c r="S271" s="28" t="inlineStr">
        <is>
          <t>12LAE50GH101</t>
        </is>
      </c>
      <c r="T271" s="32" t="n"/>
    </row>
    <row r="272" ht="30" customFormat="1" customHeight="1" s="5">
      <c r="A272" s="17" t="n">
        <v>270</v>
      </c>
      <c r="B272" s="17" t="inlineStr">
        <is>
          <t>KIPP12</t>
        </is>
      </c>
      <c r="C272" s="2" t="inlineStr">
        <is>
          <t>12LAE50CF003</t>
        </is>
      </c>
      <c r="D272" s="14" t="inlineStr">
        <is>
          <t>HP DESUPERHEATER SPRAY FT 2</t>
        </is>
      </c>
      <c r="E272" s="37" t="n"/>
      <c r="F272" s="103" t="n">
        <v>-621.6</v>
      </c>
      <c r="G272" s="103" t="n">
        <v>621.6</v>
      </c>
      <c r="H272" s="103" t="n">
        <v>0</v>
      </c>
      <c r="I272" s="103" t="n">
        <v>524</v>
      </c>
      <c r="J272" s="4" t="inlineStr">
        <is>
          <t>mBar</t>
        </is>
      </c>
      <c r="K272" s="19" t="inlineStr">
        <is>
          <t>ROSEMOUNT</t>
        </is>
      </c>
      <c r="L272" s="19" t="inlineStr">
        <is>
          <t>2051 PT</t>
        </is>
      </c>
      <c r="M272" s="19" t="n">
        <v>214466</v>
      </c>
      <c r="N272" s="2">
        <f>IF(E272="","Waiting","Calibrated")</f>
        <v/>
      </c>
      <c r="O272" s="2" t="n"/>
      <c r="P272" s="2" t="inlineStr">
        <is>
          <t>ZM06</t>
        </is>
      </c>
      <c r="Q272" s="2" t="n"/>
      <c r="R272" s="28" t="n"/>
      <c r="S272" s="28" t="inlineStr">
        <is>
          <t>12LAE50GH101</t>
        </is>
      </c>
      <c r="T272" s="32" t="n"/>
    </row>
    <row r="273" ht="30" customFormat="1" customHeight="1" s="5">
      <c r="A273" s="17" t="n">
        <v>271</v>
      </c>
      <c r="B273" s="17" t="inlineStr">
        <is>
          <t>KIPP12</t>
        </is>
      </c>
      <c r="C273" s="2" t="inlineStr">
        <is>
          <t>12LAF40CF002</t>
        </is>
      </c>
      <c r="D273" s="14" t="inlineStr">
        <is>
          <t>RH DESUPERHEATER SPRAY FT 1</t>
        </is>
      </c>
      <c r="E273" s="37" t="n"/>
      <c r="F273" s="103" t="n">
        <v>-635</v>
      </c>
      <c r="G273" s="103" t="n">
        <v>635</v>
      </c>
      <c r="H273" s="103" t="n">
        <v>0</v>
      </c>
      <c r="I273" s="103" t="n">
        <v>322</v>
      </c>
      <c r="J273" s="4" t="inlineStr">
        <is>
          <t>mbar</t>
        </is>
      </c>
      <c r="K273" s="19" t="inlineStr">
        <is>
          <t>ROSEMOUNT</t>
        </is>
      </c>
      <c r="L273" s="19" t="inlineStr">
        <is>
          <t>2051 PT</t>
        </is>
      </c>
      <c r="M273" s="19" t="n">
        <v>214480</v>
      </c>
      <c r="N273" s="2">
        <f>IF(E273="","Waiting","Calibrated")</f>
        <v/>
      </c>
      <c r="O273" s="2" t="n"/>
      <c r="P273" s="2" t="inlineStr">
        <is>
          <t>ZM06</t>
        </is>
      </c>
      <c r="Q273" s="2" t="n"/>
      <c r="R273" s="28" t="n"/>
      <c r="S273" s="28" t="inlineStr">
        <is>
          <t>12LAB46GH101</t>
        </is>
      </c>
      <c r="T273" s="32" t="n"/>
    </row>
    <row r="274" ht="30" customFormat="1" customHeight="1" s="5">
      <c r="A274" s="17" t="n">
        <v>272</v>
      </c>
      <c r="B274" s="17" t="inlineStr">
        <is>
          <t>KIPP12</t>
        </is>
      </c>
      <c r="C274" s="2" t="inlineStr">
        <is>
          <t>12LAF40CF003</t>
        </is>
      </c>
      <c r="D274" s="14" t="inlineStr">
        <is>
          <t>RH DESUPERHEATER SPRAY FT 2</t>
        </is>
      </c>
      <c r="E274" s="37" t="n"/>
      <c r="F274" s="103" t="n">
        <v>-635</v>
      </c>
      <c r="G274" s="103" t="n">
        <v>635</v>
      </c>
      <c r="H274" s="103" t="n">
        <v>0</v>
      </c>
      <c r="I274" s="103" t="n">
        <v>322</v>
      </c>
      <c r="J274" s="4" t="inlineStr">
        <is>
          <t>mBar</t>
        </is>
      </c>
      <c r="K274" s="19" t="inlineStr">
        <is>
          <t>ROSEMOUNT</t>
        </is>
      </c>
      <c r="L274" s="19" t="inlineStr">
        <is>
          <t>2051 PT</t>
        </is>
      </c>
      <c r="M274" s="19" t="n">
        <v>214481</v>
      </c>
      <c r="N274" s="2">
        <f>IF(E274="","Waiting","Calibrated")</f>
        <v/>
      </c>
      <c r="O274" s="2" t="n"/>
      <c r="P274" s="2" t="inlineStr">
        <is>
          <t>ZM06</t>
        </is>
      </c>
      <c r="Q274" s="2" t="n"/>
      <c r="R274" s="28" t="n"/>
      <c r="S274" s="28" t="inlineStr">
        <is>
          <t>12LAB46GH101</t>
        </is>
      </c>
      <c r="T274" s="32" t="n"/>
    </row>
    <row r="275" ht="30" customFormat="1" customHeight="1" s="5">
      <c r="A275" s="17" t="n">
        <v>273</v>
      </c>
      <c r="B275" s="17" t="inlineStr">
        <is>
          <t>KIPP12</t>
        </is>
      </c>
      <c r="C275" s="2" t="inlineStr">
        <is>
          <t>12LBA00CP101</t>
        </is>
      </c>
      <c r="D275" s="14" t="inlineStr">
        <is>
          <t>HIGH PRESSURE STEAM PRESSURE</t>
        </is>
      </c>
      <c r="E275" s="37" t="n">
        <v>46098</v>
      </c>
      <c r="F275" s="103" t="n">
        <v>-1</v>
      </c>
      <c r="G275" s="103" t="n">
        <v>500</v>
      </c>
      <c r="H275" s="103" t="n">
        <v>0</v>
      </c>
      <c r="I275" s="103" t="n">
        <v>151</v>
      </c>
      <c r="J275" s="4" t="inlineStr">
        <is>
          <t>Bar</t>
        </is>
      </c>
      <c r="K275" s="19" t="inlineStr">
        <is>
          <t>ROSEMOUNT</t>
        </is>
      </c>
      <c r="L275" s="19" t="inlineStr">
        <is>
          <t>EJA530E</t>
        </is>
      </c>
      <c r="M275" s="19" t="inlineStr">
        <is>
          <t>91S313316</t>
        </is>
      </c>
      <c r="N275" s="2">
        <f>IF(E275="","Waiting","Calibrated")</f>
        <v/>
      </c>
      <c r="O275" s="2" t="n"/>
      <c r="P275" s="2" t="inlineStr">
        <is>
          <t>ZM06</t>
        </is>
      </c>
      <c r="Q275" s="2" t="n"/>
      <c r="R275" s="28" t="n"/>
      <c r="S275" s="28" t="n"/>
      <c r="T275" s="32" t="n"/>
    </row>
    <row r="276" ht="30" customFormat="1" customHeight="1" s="5">
      <c r="A276" s="17" t="n">
        <v>274</v>
      </c>
      <c r="B276" s="17" t="inlineStr">
        <is>
          <t>KIPP12</t>
        </is>
      </c>
      <c r="C276" s="2" t="inlineStr">
        <is>
          <t>12LBA10CF002</t>
        </is>
      </c>
      <c r="D276" s="14" t="inlineStr">
        <is>
          <t>LP STEAM O/L FT 1</t>
        </is>
      </c>
      <c r="E276" s="37" t="n">
        <v>46097</v>
      </c>
      <c r="F276" s="103" t="n">
        <v>-621.6</v>
      </c>
      <c r="G276" s="103" t="n">
        <v>621.6</v>
      </c>
      <c r="H276" s="103" t="n">
        <v>0</v>
      </c>
      <c r="I276" s="103" t="n">
        <v>115</v>
      </c>
      <c r="J276" s="4" t="inlineStr">
        <is>
          <t>mBar</t>
        </is>
      </c>
      <c r="K276" s="19" t="inlineStr">
        <is>
          <t>ROSEMOUNT</t>
        </is>
      </c>
      <c r="L276" s="19" t="inlineStr">
        <is>
          <t>2051 PT</t>
        </is>
      </c>
      <c r="M276" s="19" t="n">
        <v>214635</v>
      </c>
      <c r="N276" s="2">
        <f>IF(E276="","Waiting","Calibrated")</f>
        <v/>
      </c>
      <c r="O276" s="2" t="n"/>
      <c r="P276" s="2" t="inlineStr">
        <is>
          <t>ZM06</t>
        </is>
      </c>
      <c r="Q276" s="2" t="n"/>
      <c r="R276" s="28" t="n"/>
      <c r="S276" s="28" t="inlineStr">
        <is>
          <t>12LAB96GH101</t>
        </is>
      </c>
      <c r="T276" s="32" t="n"/>
    </row>
    <row r="277" ht="30" customFormat="1" customHeight="1" s="5">
      <c r="A277" s="17" t="n">
        <v>275</v>
      </c>
      <c r="B277" s="17" t="inlineStr">
        <is>
          <t>KIPP12</t>
        </is>
      </c>
      <c r="C277" s="2" t="inlineStr">
        <is>
          <t>12LBA10CF003</t>
        </is>
      </c>
      <c r="D277" s="14" t="inlineStr">
        <is>
          <t>LP STEAM O/L FT 2</t>
        </is>
      </c>
      <c r="E277" s="37" t="n">
        <v>46097</v>
      </c>
      <c r="F277" s="103" t="n">
        <v>-621.6</v>
      </c>
      <c r="G277" s="103" t="n">
        <v>621.6</v>
      </c>
      <c r="H277" s="103" t="n">
        <v>0</v>
      </c>
      <c r="I277" s="103" t="n">
        <v>115</v>
      </c>
      <c r="J277" s="4" t="inlineStr">
        <is>
          <t>mBar</t>
        </is>
      </c>
      <c r="K277" s="19" t="inlineStr">
        <is>
          <t>ROSEMOUNT</t>
        </is>
      </c>
      <c r="L277" s="19" t="inlineStr">
        <is>
          <t>2051 PT</t>
        </is>
      </c>
      <c r="M277" s="19" t="n">
        <v>214636</v>
      </c>
      <c r="N277" s="2">
        <f>IF(E277="","Waiting","Calibrated")</f>
        <v/>
      </c>
      <c r="O277" s="2" t="n"/>
      <c r="P277" s="2" t="inlineStr">
        <is>
          <t>ZM06</t>
        </is>
      </c>
      <c r="Q277" s="2" t="n"/>
      <c r="R277" s="28" t="n"/>
      <c r="S277" s="28" t="inlineStr">
        <is>
          <t>12LAB96GH101</t>
        </is>
      </c>
      <c r="T277" s="32" t="n"/>
    </row>
    <row r="278" ht="30" customFormat="1" customHeight="1" s="5">
      <c r="A278" s="17" t="n">
        <v>276</v>
      </c>
      <c r="B278" s="17" t="inlineStr">
        <is>
          <t>KIPP12</t>
        </is>
      </c>
      <c r="C278" s="2" t="inlineStr">
        <is>
          <t>12LBA10CP001</t>
        </is>
      </c>
      <c r="D278" s="14" t="inlineStr">
        <is>
          <t>LP STEAM PT</t>
        </is>
      </c>
      <c r="E278" s="37" t="n">
        <v>46105</v>
      </c>
      <c r="F278" s="103" t="n">
        <v>-1</v>
      </c>
      <c r="G278" s="103" t="n">
        <v>55.16</v>
      </c>
      <c r="H278" s="103" t="n">
        <v>0</v>
      </c>
      <c r="I278" s="103" t="n">
        <v>15</v>
      </c>
      <c r="J278" s="4" t="inlineStr">
        <is>
          <t>Bar</t>
        </is>
      </c>
      <c r="K278" s="19" t="inlineStr">
        <is>
          <t>ROSEMOUNT</t>
        </is>
      </c>
      <c r="L278" s="19" t="inlineStr">
        <is>
          <t>2051 PT</t>
        </is>
      </c>
      <c r="M278" s="20" t="n">
        <v>210454</v>
      </c>
      <c r="N278" s="2">
        <f>IF(E278="","Waiting","Calibrated")</f>
        <v/>
      </c>
      <c r="O278" s="2" t="n"/>
      <c r="P278" s="2" t="inlineStr">
        <is>
          <t>ZM06</t>
        </is>
      </c>
      <c r="Q278" s="2" t="n"/>
      <c r="R278" s="28" t="n"/>
      <c r="S278" s="28" t="inlineStr">
        <is>
          <t>12LAB96GH101</t>
        </is>
      </c>
      <c r="T278" s="32" t="n"/>
    </row>
    <row r="279" ht="30" customFormat="1" customHeight="1" s="5">
      <c r="A279" s="17" t="n">
        <v>277</v>
      </c>
      <c r="B279" s="17" t="inlineStr">
        <is>
          <t>KIPP12</t>
        </is>
      </c>
      <c r="C279" s="2" t="inlineStr">
        <is>
          <t>12LBA20CP101</t>
        </is>
      </c>
      <c r="D279" s="14" t="inlineStr">
        <is>
          <t>HP BYPASS VALVE OUTLET PRESSURE A</t>
        </is>
      </c>
      <c r="E279" s="37" t="n">
        <v>46098</v>
      </c>
      <c r="F279" s="103" t="n">
        <v>-1</v>
      </c>
      <c r="G279" s="103" t="n">
        <v>100</v>
      </c>
      <c r="H279" s="103" t="n">
        <v>0</v>
      </c>
      <c r="I279" s="103" t="n">
        <v>43</v>
      </c>
      <c r="J279" s="4" t="inlineStr">
        <is>
          <t>Bar</t>
        </is>
      </c>
      <c r="K279" s="19" t="inlineStr">
        <is>
          <t>YOKOGAWA</t>
        </is>
      </c>
      <c r="L279" s="19" t="inlineStr">
        <is>
          <t>EJA530E</t>
        </is>
      </c>
      <c r="M279" s="19" t="inlineStr">
        <is>
          <t>91S313284</t>
        </is>
      </c>
      <c r="N279" s="2">
        <f>IF(E279="","Waiting","Calibrated")</f>
        <v/>
      </c>
      <c r="O279" s="2" t="n"/>
      <c r="P279" s="2" t="inlineStr">
        <is>
          <t>ZM06</t>
        </is>
      </c>
      <c r="Q279" s="2" t="n"/>
      <c r="R279" s="28" t="n"/>
      <c r="S279" s="28" t="n"/>
      <c r="T279" s="32" t="n"/>
    </row>
    <row r="280" ht="30" customFormat="1" customHeight="1" s="5">
      <c r="A280" s="17" t="n">
        <v>278</v>
      </c>
      <c r="B280" s="17" t="inlineStr">
        <is>
          <t>KIPP12</t>
        </is>
      </c>
      <c r="C280" s="2" t="inlineStr">
        <is>
          <t>12LBA20CP102</t>
        </is>
      </c>
      <c r="D280" s="14" t="inlineStr">
        <is>
          <t>HP BYPASS VALVE OUTLET PRESSURE B</t>
        </is>
      </c>
      <c r="E280" s="37" t="n">
        <v>46098</v>
      </c>
      <c r="F280" s="103" t="n">
        <v>-1</v>
      </c>
      <c r="G280" s="103" t="n">
        <v>100</v>
      </c>
      <c r="H280" s="103" t="n">
        <v>0</v>
      </c>
      <c r="I280" s="103" t="n">
        <v>43</v>
      </c>
      <c r="J280" s="4" t="inlineStr">
        <is>
          <t>Bar</t>
        </is>
      </c>
      <c r="K280" s="19" t="inlineStr">
        <is>
          <t>YOKOGAWA</t>
        </is>
      </c>
      <c r="L280" s="19" t="inlineStr">
        <is>
          <t>EJA530E</t>
        </is>
      </c>
      <c r="M280" s="19" t="inlineStr">
        <is>
          <t>91S313285</t>
        </is>
      </c>
      <c r="N280" s="2">
        <f>IF(E280="","Waiting","Calibrated")</f>
        <v/>
      </c>
      <c r="O280" s="2" t="n"/>
      <c r="P280" s="2" t="inlineStr">
        <is>
          <t>ZM06</t>
        </is>
      </c>
      <c r="Q280" s="2" t="n"/>
      <c r="R280" s="28" t="n"/>
      <c r="S280" s="28" t="n"/>
      <c r="T280" s="32" t="n"/>
    </row>
    <row r="281" ht="30" customFormat="1" customHeight="1" s="5">
      <c r="A281" s="17" t="n">
        <v>279</v>
      </c>
      <c r="B281" s="17" t="inlineStr">
        <is>
          <t>KIPP12</t>
        </is>
      </c>
      <c r="C281" s="2" t="inlineStr">
        <is>
          <t>12LBA30CF002</t>
        </is>
      </c>
      <c r="D281" s="14" t="inlineStr">
        <is>
          <t>IP STEAM O/L FT 1</t>
        </is>
      </c>
      <c r="E281" s="37" t="n"/>
      <c r="F281" s="103" t="n">
        <v>-621.6</v>
      </c>
      <c r="G281" s="103" t="n">
        <v>621.6</v>
      </c>
      <c r="H281" s="103" t="n">
        <v>0</v>
      </c>
      <c r="I281" s="103" t="n">
        <v>322</v>
      </c>
      <c r="J281" s="4" t="inlineStr">
        <is>
          <t>mBar</t>
        </is>
      </c>
      <c r="K281" s="19" t="inlineStr">
        <is>
          <t>ROSEMOUNT</t>
        </is>
      </c>
      <c r="L281" s="19" t="inlineStr">
        <is>
          <t>2051 PT</t>
        </is>
      </c>
      <c r="M281" s="19" t="n">
        <v>214482</v>
      </c>
      <c r="N281" s="2">
        <f>IF(E281="","Waiting","Calibrated")</f>
        <v/>
      </c>
      <c r="O281" s="2" t="n"/>
      <c r="P281" s="2" t="inlineStr">
        <is>
          <t>ZM06</t>
        </is>
      </c>
      <c r="Q281" s="2" t="n"/>
      <c r="R281" s="28" t="n"/>
      <c r="S281" s="28" t="inlineStr">
        <is>
          <t>12LBA30GH101</t>
        </is>
      </c>
      <c r="T281" s="32" t="n"/>
    </row>
    <row r="282" ht="30" customFormat="1" customHeight="1" s="5">
      <c r="A282" s="17" t="n">
        <v>280</v>
      </c>
      <c r="B282" s="17" t="inlineStr">
        <is>
          <t>KIPP12</t>
        </is>
      </c>
      <c r="C282" s="2" t="inlineStr">
        <is>
          <t>12LBA30CF003</t>
        </is>
      </c>
      <c r="D282" s="14" t="inlineStr">
        <is>
          <t>IP STEAM O/L FT 2</t>
        </is>
      </c>
      <c r="E282" s="37" t="n"/>
      <c r="F282" s="103" t="n">
        <v>-621.6</v>
      </c>
      <c r="G282" s="103" t="n">
        <v>621.6</v>
      </c>
      <c r="H282" s="103" t="n">
        <v>0</v>
      </c>
      <c r="I282" s="103" t="n">
        <v>322</v>
      </c>
      <c r="J282" s="4" t="inlineStr">
        <is>
          <t>mBar</t>
        </is>
      </c>
      <c r="K282" s="19" t="inlineStr">
        <is>
          <t>ROSEMOUNT</t>
        </is>
      </c>
      <c r="L282" s="19" t="inlineStr">
        <is>
          <t>2051 PT</t>
        </is>
      </c>
      <c r="M282" s="19" t="n">
        <v>214483</v>
      </c>
      <c r="N282" s="2">
        <f>IF(E282="","Waiting","Calibrated")</f>
        <v/>
      </c>
      <c r="O282" s="2" t="n"/>
      <c r="P282" s="2" t="inlineStr">
        <is>
          <t>ZM06</t>
        </is>
      </c>
      <c r="Q282" s="2" t="n"/>
      <c r="R282" s="28" t="n"/>
      <c r="S282" s="28" t="inlineStr">
        <is>
          <t>12LBA30GH101</t>
        </is>
      </c>
      <c r="T282" s="32" t="n"/>
    </row>
    <row r="283" ht="30" customFormat="1" customHeight="1" s="5">
      <c r="A283" s="17" t="n">
        <v>281</v>
      </c>
      <c r="B283" s="17" t="inlineStr">
        <is>
          <t>KIPP12</t>
        </is>
      </c>
      <c r="C283" s="2" t="inlineStr">
        <is>
          <t>12LBA30CP001</t>
        </is>
      </c>
      <c r="D283" s="14" t="inlineStr">
        <is>
          <t>IP STEAM O/L PT</t>
        </is>
      </c>
      <c r="E283" s="37" t="n"/>
      <c r="F283" s="103" t="n">
        <v>-1.01</v>
      </c>
      <c r="G283" s="103" t="n">
        <v>275.79</v>
      </c>
      <c r="H283" s="103" t="n">
        <v>0</v>
      </c>
      <c r="I283" s="103" t="n">
        <v>60</v>
      </c>
      <c r="J283" s="4" t="inlineStr">
        <is>
          <t>Bar</t>
        </is>
      </c>
      <c r="K283" s="19" t="inlineStr">
        <is>
          <t>ROSEMOUNT</t>
        </is>
      </c>
      <c r="L283" s="19" t="inlineStr">
        <is>
          <t>2051 PT</t>
        </is>
      </c>
      <c r="M283" s="20" t="n">
        <v>210449</v>
      </c>
      <c r="N283" s="2">
        <f>IF(E283="","Waiting","Calibrated")</f>
        <v/>
      </c>
      <c r="O283" s="2" t="n"/>
      <c r="P283" s="2" t="inlineStr">
        <is>
          <t>ZM06</t>
        </is>
      </c>
      <c r="Q283" s="2" t="n"/>
      <c r="R283" s="28" t="n"/>
      <c r="S283" s="28" t="inlineStr">
        <is>
          <t>12LBA30GH101</t>
        </is>
      </c>
      <c r="T283" s="32" t="n"/>
    </row>
    <row r="284" ht="30" customFormat="1" customHeight="1" s="5">
      <c r="A284" s="17" t="n">
        <v>282</v>
      </c>
      <c r="B284" s="17" t="inlineStr">
        <is>
          <t>KIPP12</t>
        </is>
      </c>
      <c r="C284" s="2" t="inlineStr">
        <is>
          <t>12LBA31CP101</t>
        </is>
      </c>
      <c r="D284" s="14" t="inlineStr">
        <is>
          <t>LP STEAM PT</t>
        </is>
      </c>
      <c r="E284" s="37" t="n">
        <v>46105</v>
      </c>
      <c r="F284" s="103" t="n">
        <v>-1</v>
      </c>
      <c r="G284" s="103" t="n">
        <v>20</v>
      </c>
      <c r="H284" s="103" t="n">
        <v>0</v>
      </c>
      <c r="I284" s="103" t="n">
        <v>10</v>
      </c>
      <c r="J284" s="4" t="inlineStr">
        <is>
          <t>Bar</t>
        </is>
      </c>
      <c r="K284" s="19" t="inlineStr">
        <is>
          <t>YOKOGAWA</t>
        </is>
      </c>
      <c r="L284" s="19" t="inlineStr">
        <is>
          <t>EJA530E</t>
        </is>
      </c>
      <c r="M284" s="19" t="inlineStr">
        <is>
          <t>91S313229</t>
        </is>
      </c>
      <c r="N284" s="2">
        <f>IF(E284="","Waiting","Calibrated")</f>
        <v/>
      </c>
      <c r="O284" s="2" t="n"/>
      <c r="P284" s="2" t="inlineStr">
        <is>
          <t>ZM06</t>
        </is>
      </c>
      <c r="Q284" s="2" t="n"/>
      <c r="R284" s="28" t="n"/>
      <c r="S284" s="28" t="n"/>
      <c r="T284" s="32" t="n"/>
    </row>
    <row r="285" ht="30" customFormat="1" customHeight="1" s="5">
      <c r="A285" s="17" t="n">
        <v>283</v>
      </c>
      <c r="B285" s="17" t="inlineStr">
        <is>
          <t>KIPP12</t>
        </is>
      </c>
      <c r="C285" s="2" t="inlineStr">
        <is>
          <t>12LBA40CP101</t>
        </is>
      </c>
      <c r="D285" s="14" t="inlineStr">
        <is>
          <t>LP STEAM BYPASS VALVE OUTLET PT</t>
        </is>
      </c>
      <c r="E285" s="37" t="n">
        <v>46104</v>
      </c>
      <c r="F285" s="103" t="n">
        <v>-1</v>
      </c>
      <c r="G285" s="103" t="n">
        <v>20</v>
      </c>
      <c r="H285" s="103" t="n">
        <v>0</v>
      </c>
      <c r="I285" s="103" t="n">
        <v>4</v>
      </c>
      <c r="J285" s="4" t="inlineStr">
        <is>
          <t>Bar</t>
        </is>
      </c>
      <c r="K285" s="19" t="inlineStr">
        <is>
          <t>YOKOGAWA</t>
        </is>
      </c>
      <c r="L285" s="19" t="inlineStr">
        <is>
          <t>EJA530E</t>
        </is>
      </c>
      <c r="M285" s="19" t="inlineStr">
        <is>
          <t>91S313230</t>
        </is>
      </c>
      <c r="N285" s="2">
        <f>IF(E285="","Waiting","Calibrated")</f>
        <v/>
      </c>
      <c r="O285" s="2" t="n"/>
      <c r="P285" s="2" t="inlineStr">
        <is>
          <t>ZM06</t>
        </is>
      </c>
      <c r="Q285" s="2" t="n"/>
      <c r="R285" s="28" t="n"/>
      <c r="S285" s="28" t="n"/>
      <c r="T285" s="32" t="n"/>
    </row>
    <row r="286" ht="30" customFormat="1" customHeight="1" s="5">
      <c r="A286" s="17" t="n">
        <v>284</v>
      </c>
      <c r="B286" s="17" t="inlineStr">
        <is>
          <t>KIPP12</t>
        </is>
      </c>
      <c r="C286" s="2" t="inlineStr">
        <is>
          <t>12LBA40CP102</t>
        </is>
      </c>
      <c r="D286" s="14" t="inlineStr">
        <is>
          <t>LP STEAM BYPASS VALVE OUTLET PT</t>
        </is>
      </c>
      <c r="E286" s="37" t="n">
        <v>46104</v>
      </c>
      <c r="F286" s="103" t="n">
        <v>-1</v>
      </c>
      <c r="G286" s="103" t="n">
        <v>20</v>
      </c>
      <c r="H286" s="103" t="n">
        <v>0</v>
      </c>
      <c r="I286" s="103" t="n">
        <v>4</v>
      </c>
      <c r="J286" s="4" t="inlineStr">
        <is>
          <t>Bar</t>
        </is>
      </c>
      <c r="K286" s="19" t="inlineStr">
        <is>
          <t>YOKOGAWA</t>
        </is>
      </c>
      <c r="L286" s="19" t="inlineStr">
        <is>
          <t>EJA530E</t>
        </is>
      </c>
      <c r="M286" s="19" t="inlineStr">
        <is>
          <t>91S313231</t>
        </is>
      </c>
      <c r="N286" s="2">
        <f>IF(E286="","Waiting","Calibrated")</f>
        <v/>
      </c>
      <c r="O286" s="2" t="n"/>
      <c r="P286" s="2" t="inlineStr">
        <is>
          <t>ZM06</t>
        </is>
      </c>
      <c r="Q286" s="2" t="n"/>
      <c r="R286" s="28" t="n"/>
      <c r="S286" s="28" t="n"/>
      <c r="T286" s="32" t="n"/>
    </row>
    <row r="287" ht="30" customFormat="1" customHeight="1" s="5">
      <c r="A287" s="17" t="n">
        <v>285</v>
      </c>
      <c r="B287" s="17" t="inlineStr">
        <is>
          <t>KIPP12</t>
        </is>
      </c>
      <c r="C287" s="2" t="inlineStr">
        <is>
          <t>12LBA50CF002</t>
        </is>
      </c>
      <c r="D287" s="14" t="inlineStr">
        <is>
          <t>HP STEAM O/L FT 1</t>
        </is>
      </c>
      <c r="E287" s="37" t="n"/>
      <c r="F287" s="103" t="n">
        <v>-2468</v>
      </c>
      <c r="G287" s="103" t="n">
        <v>2468</v>
      </c>
      <c r="H287" s="103" t="n">
        <v>0</v>
      </c>
      <c r="I287" s="103" t="n">
        <v>1600</v>
      </c>
      <c r="J287" s="4" t="inlineStr">
        <is>
          <t>mBar</t>
        </is>
      </c>
      <c r="K287" s="19" t="inlineStr">
        <is>
          <t>ROSEMOUNT</t>
        </is>
      </c>
      <c r="L287" s="19" t="inlineStr">
        <is>
          <t>2051 PT</t>
        </is>
      </c>
      <c r="M287" s="19" t="n">
        <v>214476</v>
      </c>
      <c r="N287" s="2">
        <f>IF(E287="","Waiting","Calibrated")</f>
        <v/>
      </c>
      <c r="O287" s="2" t="n"/>
      <c r="P287" s="2" t="inlineStr">
        <is>
          <t>ZM06</t>
        </is>
      </c>
      <c r="Q287" s="2" t="n"/>
      <c r="R287" s="28" t="n"/>
      <c r="S287" s="28" t="inlineStr">
        <is>
          <t>12LBC00GH101</t>
        </is>
      </c>
      <c r="T287" s="32" t="n"/>
    </row>
    <row r="288" ht="30" customFormat="1" customHeight="1" s="5">
      <c r="A288" s="17" t="n">
        <v>286</v>
      </c>
      <c r="B288" s="17" t="inlineStr">
        <is>
          <t>KIPP12</t>
        </is>
      </c>
      <c r="C288" s="2" t="inlineStr">
        <is>
          <t>12LBA50CF003</t>
        </is>
      </c>
      <c r="D288" s="14" t="inlineStr">
        <is>
          <t>HP STEAM O/L FT 2</t>
        </is>
      </c>
      <c r="E288" s="37" t="n"/>
      <c r="F288" s="103" t="n">
        <v>-2468</v>
      </c>
      <c r="G288" s="103" t="n">
        <v>2468</v>
      </c>
      <c r="H288" s="103" t="n">
        <v>0</v>
      </c>
      <c r="I288" s="103" t="n">
        <v>1600</v>
      </c>
      <c r="J288" s="4" t="inlineStr">
        <is>
          <t>mBar</t>
        </is>
      </c>
      <c r="K288" s="19" t="inlineStr">
        <is>
          <t>ROSEMOUNT</t>
        </is>
      </c>
      <c r="L288" s="19" t="inlineStr">
        <is>
          <t>2051 PT</t>
        </is>
      </c>
      <c r="M288" s="19" t="n">
        <v>214477</v>
      </c>
      <c r="N288" s="2">
        <f>IF(E288="","Waiting","Calibrated")</f>
        <v/>
      </c>
      <c r="O288" s="2" t="n"/>
      <c r="P288" s="2" t="inlineStr">
        <is>
          <t>ZM06</t>
        </is>
      </c>
      <c r="Q288" s="2" t="n"/>
      <c r="R288" s="28" t="n"/>
      <c r="S288" s="28" t="inlineStr">
        <is>
          <t>12LBC00GH101</t>
        </is>
      </c>
      <c r="T288" s="32" t="n"/>
    </row>
    <row r="289" ht="30" customFormat="1" customHeight="1" s="5">
      <c r="A289" s="17" t="n">
        <v>287</v>
      </c>
      <c r="B289" s="17" t="inlineStr">
        <is>
          <t>KIPP12</t>
        </is>
      </c>
      <c r="C289" s="2" t="inlineStr">
        <is>
          <t>12LBA50CP001</t>
        </is>
      </c>
      <c r="D289" s="14" t="inlineStr">
        <is>
          <t>HP STEAM PT</t>
        </is>
      </c>
      <c r="E289" s="37" t="n"/>
      <c r="F289" s="103" t="n">
        <v>0</v>
      </c>
      <c r="G289" s="103" t="n">
        <v>689.5</v>
      </c>
      <c r="H289" s="103" t="n">
        <v>0</v>
      </c>
      <c r="I289" s="103" t="n">
        <v>200</v>
      </c>
      <c r="J289" s="4" t="inlineStr">
        <is>
          <t>Bar</t>
        </is>
      </c>
      <c r="K289" s="19" t="inlineStr">
        <is>
          <t>ROSEMOUNT</t>
        </is>
      </c>
      <c r="L289" s="19" t="inlineStr">
        <is>
          <t>2051 PT</t>
        </is>
      </c>
      <c r="M289" s="20" t="n">
        <v>210443</v>
      </c>
      <c r="N289" s="2">
        <f>IF(E289="","Waiting","Calibrated")</f>
        <v/>
      </c>
      <c r="O289" s="2" t="n"/>
      <c r="P289" s="2" t="inlineStr">
        <is>
          <t>ZM06</t>
        </is>
      </c>
      <c r="Q289" s="2" t="n"/>
      <c r="R289" s="28" t="n"/>
      <c r="S289" s="28" t="n"/>
      <c r="T289" s="32" t="n"/>
    </row>
    <row r="290" ht="30" customFormat="1" customHeight="1" s="5">
      <c r="A290" s="17" t="n">
        <v>288</v>
      </c>
      <c r="B290" s="17" t="inlineStr">
        <is>
          <t>KIPP12</t>
        </is>
      </c>
      <c r="C290" s="2" t="inlineStr">
        <is>
          <t>12LBB00CP101</t>
        </is>
      </c>
      <c r="D290" s="14" t="inlineStr">
        <is>
          <t>HOT REHEAT STEAM PT</t>
        </is>
      </c>
      <c r="E290" s="37" t="n">
        <v>46098</v>
      </c>
      <c r="F290" s="103" t="n">
        <v>-1</v>
      </c>
      <c r="G290" s="103" t="n">
        <v>500</v>
      </c>
      <c r="H290" s="103" t="n">
        <v>0</v>
      </c>
      <c r="I290" s="103" t="n">
        <v>50</v>
      </c>
      <c r="J290" s="4" t="inlineStr">
        <is>
          <t>Bar</t>
        </is>
      </c>
      <c r="K290" s="19" t="inlineStr">
        <is>
          <t>YOKOGAWA</t>
        </is>
      </c>
      <c r="L290" s="19" t="inlineStr">
        <is>
          <t>EJA530E</t>
        </is>
      </c>
      <c r="M290" s="19" t="inlineStr">
        <is>
          <t>91S313215</t>
        </is>
      </c>
      <c r="N290" s="2">
        <f>IF(E290="","Waiting","Calibrated")</f>
        <v/>
      </c>
      <c r="O290" s="2" t="n"/>
      <c r="P290" s="2" t="inlineStr">
        <is>
          <t>ZM06</t>
        </is>
      </c>
      <c r="Q290" s="2" t="n"/>
      <c r="R290" s="28" t="n"/>
      <c r="S290" s="28" t="n"/>
      <c r="T290" s="32" t="n"/>
    </row>
    <row r="291" ht="30" customFormat="1" customHeight="1" s="5">
      <c r="A291" s="17" t="n">
        <v>289</v>
      </c>
      <c r="B291" s="17" t="inlineStr">
        <is>
          <t>KIPP12</t>
        </is>
      </c>
      <c r="C291" s="2" t="inlineStr">
        <is>
          <t>12LBB20CP101</t>
        </is>
      </c>
      <c r="D291" s="14" t="inlineStr">
        <is>
          <t>HOT REHEAT STEAM BYPASS VALVE OUTLET PT</t>
        </is>
      </c>
      <c r="E291" s="37" t="n">
        <v>46104</v>
      </c>
      <c r="F291" s="103" t="n">
        <v>-1</v>
      </c>
      <c r="G291" s="103" t="n">
        <v>20</v>
      </c>
      <c r="H291" s="103" t="n">
        <v>0</v>
      </c>
      <c r="I291" s="103" t="n">
        <v>13</v>
      </c>
      <c r="J291" s="4" t="inlineStr">
        <is>
          <t>Bar</t>
        </is>
      </c>
      <c r="K291" s="19" t="inlineStr">
        <is>
          <t>YOKOGAWA</t>
        </is>
      </c>
      <c r="L291" s="19" t="inlineStr">
        <is>
          <t>EJA530E</t>
        </is>
      </c>
      <c r="M291" s="19" t="inlineStr">
        <is>
          <t>91S313224</t>
        </is>
      </c>
      <c r="N291" s="2">
        <f>IF(E291="","Waiting","Calibrated")</f>
        <v/>
      </c>
      <c r="O291" s="2" t="n"/>
      <c r="P291" s="2" t="inlineStr">
        <is>
          <t>ZM06</t>
        </is>
      </c>
      <c r="Q291" s="2" t="n"/>
      <c r="R291" s="28" t="n"/>
      <c r="S291" s="28" t="n"/>
      <c r="T291" s="32" t="n"/>
    </row>
    <row r="292" ht="30" customFormat="1" customHeight="1" s="5">
      <c r="A292" s="17" t="n">
        <v>290</v>
      </c>
      <c r="B292" s="17" t="inlineStr">
        <is>
          <t>KIPP12</t>
        </is>
      </c>
      <c r="C292" s="2" t="inlineStr">
        <is>
          <t>12LBB20CP102</t>
        </is>
      </c>
      <c r="D292" s="14" t="inlineStr">
        <is>
          <t>HOT REHEAT STEAM BYPASS VALVE OUTLET PT</t>
        </is>
      </c>
      <c r="E292" s="37" t="n">
        <v>46104</v>
      </c>
      <c r="F292" s="103" t="n">
        <v>-1</v>
      </c>
      <c r="G292" s="103" t="n">
        <v>20</v>
      </c>
      <c r="H292" s="103" t="n">
        <v>0</v>
      </c>
      <c r="I292" s="103" t="n">
        <v>13</v>
      </c>
      <c r="J292" s="4" t="inlineStr">
        <is>
          <t>Bar</t>
        </is>
      </c>
      <c r="K292" s="19" t="inlineStr">
        <is>
          <t>YOKOGAWA</t>
        </is>
      </c>
      <c r="L292" s="19" t="inlineStr">
        <is>
          <t>EJA530E</t>
        </is>
      </c>
      <c r="M292" s="19" t="inlineStr">
        <is>
          <t>91S313225</t>
        </is>
      </c>
      <c r="N292" s="2">
        <f>IF(E292="","Waiting","Calibrated")</f>
        <v/>
      </c>
      <c r="O292" s="2" t="n"/>
      <c r="P292" s="2" t="inlineStr">
        <is>
          <t>ZM06</t>
        </is>
      </c>
      <c r="Q292" s="2" t="n"/>
      <c r="R292" s="28" t="n"/>
      <c r="S292" s="28" t="n"/>
      <c r="T292" s="32" t="n"/>
    </row>
    <row r="293" ht="30" customFormat="1" customHeight="1" s="5">
      <c r="A293" s="17" t="n">
        <v>291</v>
      </c>
      <c r="B293" s="17" t="inlineStr">
        <is>
          <t>KIPP12</t>
        </is>
      </c>
      <c r="C293" s="2" t="inlineStr">
        <is>
          <t>12LBB40CP001</t>
        </is>
      </c>
      <c r="D293" s="14" t="inlineStr">
        <is>
          <t>RH STEAM PT</t>
        </is>
      </c>
      <c r="E293" s="37" t="n"/>
      <c r="F293" s="103" t="n">
        <v>-1.01</v>
      </c>
      <c r="G293" s="103" t="n">
        <v>275.79</v>
      </c>
      <c r="H293" s="103" t="n">
        <v>0</v>
      </c>
      <c r="I293" s="103" t="n">
        <v>50</v>
      </c>
      <c r="J293" s="4" t="inlineStr">
        <is>
          <t>Bar</t>
        </is>
      </c>
      <c r="K293" s="19" t="inlineStr">
        <is>
          <t>ROSEMOUNT</t>
        </is>
      </c>
      <c r="L293" s="19" t="inlineStr">
        <is>
          <t>2051 PT</t>
        </is>
      </c>
      <c r="M293" s="20" t="n">
        <v>210450</v>
      </c>
      <c r="N293" s="2">
        <f>IF(E293="","Waiting","Calibrated")</f>
        <v/>
      </c>
      <c r="O293" s="2" t="n"/>
      <c r="P293" s="2" t="inlineStr">
        <is>
          <t>ZM06</t>
        </is>
      </c>
      <c r="Q293" s="2" t="n"/>
      <c r="R293" s="28" t="n"/>
      <c r="S293" s="28" t="inlineStr">
        <is>
          <t>12LBA30GH101</t>
        </is>
      </c>
      <c r="T293" s="32" t="n"/>
    </row>
    <row r="294" ht="30" customFormat="1" customHeight="1" s="5">
      <c r="A294" s="17" t="n">
        <v>292</v>
      </c>
      <c r="B294" s="17" t="inlineStr">
        <is>
          <t>KIPP12</t>
        </is>
      </c>
      <c r="C294" s="2" t="inlineStr">
        <is>
          <t>12LBC00CF101</t>
        </is>
      </c>
      <c r="D294" s="14" t="inlineStr">
        <is>
          <t>COLD REHEAT STEAM FLOW A</t>
        </is>
      </c>
      <c r="E294" s="37" t="n"/>
      <c r="F294" s="103" t="n">
        <v>-10197.2</v>
      </c>
      <c r="G294" s="103" t="n">
        <v>10197.2</v>
      </c>
      <c r="H294" s="103" t="n">
        <v>0</v>
      </c>
      <c r="I294" s="103" t="n">
        <v>2312</v>
      </c>
      <c r="J294" s="4" t="inlineStr">
        <is>
          <t>mmH2O</t>
        </is>
      </c>
      <c r="K294" s="19" t="inlineStr">
        <is>
          <t>YOKOGAWA</t>
        </is>
      </c>
      <c r="L294" s="19" t="inlineStr">
        <is>
          <t>EJA110E</t>
        </is>
      </c>
      <c r="M294" s="19" t="inlineStr">
        <is>
          <t>91S313073</t>
        </is>
      </c>
      <c r="N294" s="2">
        <f>IF(E294="","Waiting","Calibrated")</f>
        <v/>
      </c>
      <c r="O294" s="2" t="n"/>
      <c r="P294" s="2" t="inlineStr">
        <is>
          <t>ZM06</t>
        </is>
      </c>
      <c r="Q294" s="2" t="n"/>
      <c r="R294" s="28" t="n"/>
      <c r="S294" s="28" t="inlineStr">
        <is>
          <t>12LBC00GH101</t>
        </is>
      </c>
      <c r="T294" s="32" t="n"/>
    </row>
    <row r="295" ht="30" customFormat="1" customHeight="1" s="5">
      <c r="A295" s="17" t="n">
        <v>293</v>
      </c>
      <c r="B295" s="17" t="inlineStr">
        <is>
          <t>KIPP12</t>
        </is>
      </c>
      <c r="C295" s="2" t="inlineStr">
        <is>
          <t>12LBC00CF102</t>
        </is>
      </c>
      <c r="D295" s="14" t="inlineStr">
        <is>
          <t>COLD REHEAT STEAM FLOW B</t>
        </is>
      </c>
      <c r="E295" s="37" t="n"/>
      <c r="F295" s="103" t="n">
        <v>-10197.2</v>
      </c>
      <c r="G295" s="103" t="n">
        <v>10197.2</v>
      </c>
      <c r="H295" s="103" t="n">
        <v>0</v>
      </c>
      <c r="I295" s="103" t="n">
        <v>2312</v>
      </c>
      <c r="J295" s="4" t="inlineStr">
        <is>
          <t>mmH2O</t>
        </is>
      </c>
      <c r="K295" s="19" t="inlineStr">
        <is>
          <t>YOKOGAWA</t>
        </is>
      </c>
      <c r="L295" s="19" t="inlineStr">
        <is>
          <t>EJA110E</t>
        </is>
      </c>
      <c r="M295" s="19" t="inlineStr">
        <is>
          <t>91S313074</t>
        </is>
      </c>
      <c r="N295" s="2">
        <f>IF(E295="","Waiting","Calibrated")</f>
        <v/>
      </c>
      <c r="O295" s="2" t="n"/>
      <c r="P295" s="2" t="inlineStr">
        <is>
          <t>ZM06</t>
        </is>
      </c>
      <c r="Q295" s="2" t="n"/>
      <c r="R295" s="28" t="n"/>
      <c r="S295" s="28" t="inlineStr">
        <is>
          <t>12LBC00GH101</t>
        </is>
      </c>
      <c r="T295" s="32" t="n"/>
    </row>
    <row r="296" ht="30" customFormat="1" customHeight="1" s="5">
      <c r="A296" s="17" t="n">
        <v>294</v>
      </c>
      <c r="B296" s="17" t="inlineStr">
        <is>
          <t>KIPP12</t>
        </is>
      </c>
      <c r="C296" s="2" t="inlineStr">
        <is>
          <t>12LBC00CP101</t>
        </is>
      </c>
      <c r="D296" s="14" t="inlineStr">
        <is>
          <t>COLD REHEAT STEAM PRESSURE</t>
        </is>
      </c>
      <c r="E296" s="37" t="n"/>
      <c r="F296" s="103" t="n">
        <v>-1</v>
      </c>
      <c r="G296" s="103" t="n">
        <v>100</v>
      </c>
      <c r="H296" s="103" t="n">
        <v>0</v>
      </c>
      <c r="I296" s="103" t="n">
        <v>43</v>
      </c>
      <c r="J296" s="4" t="inlineStr">
        <is>
          <t>Bar</t>
        </is>
      </c>
      <c r="K296" s="19" t="inlineStr">
        <is>
          <t>YOKOGAWA</t>
        </is>
      </c>
      <c r="L296" s="19" t="inlineStr">
        <is>
          <t>EJA530E</t>
        </is>
      </c>
      <c r="M296" s="19" t="inlineStr">
        <is>
          <t>91S213288</t>
        </is>
      </c>
      <c r="N296" s="2">
        <f>IF(E296="","Waiting","Calibrated")</f>
        <v/>
      </c>
      <c r="O296" s="2" t="n"/>
      <c r="P296" s="2" t="inlineStr">
        <is>
          <t>ZM06</t>
        </is>
      </c>
      <c r="Q296" s="2" t="n"/>
      <c r="R296" s="28" t="n"/>
      <c r="S296" s="28" t="inlineStr">
        <is>
          <t>12LBC00GH101</t>
        </is>
      </c>
      <c r="T296" s="32" t="n"/>
    </row>
    <row r="297" ht="30" customFormat="1" customHeight="1" s="5">
      <c r="A297" s="17" t="n">
        <v>295</v>
      </c>
      <c r="B297" s="17" t="inlineStr">
        <is>
          <t>KIPP12</t>
        </is>
      </c>
      <c r="C297" s="2" t="inlineStr">
        <is>
          <t>12LBC30CP001</t>
        </is>
      </c>
      <c r="D297" s="14" t="inlineStr">
        <is>
          <t>COLD REHEAT PRESSURE</t>
        </is>
      </c>
      <c r="E297" s="37" t="n"/>
      <c r="F297" s="103" t="n">
        <v>-1.01</v>
      </c>
      <c r="G297" s="103" t="n">
        <v>275.79</v>
      </c>
      <c r="H297" s="103" t="n">
        <v>0</v>
      </c>
      <c r="I297" s="103" t="n">
        <v>60</v>
      </c>
      <c r="J297" s="4" t="inlineStr">
        <is>
          <t>Bar</t>
        </is>
      </c>
      <c r="K297" s="19" t="inlineStr">
        <is>
          <t>ROSEMOUNT</t>
        </is>
      </c>
      <c r="L297" s="19" t="inlineStr">
        <is>
          <t>2051 PT</t>
        </is>
      </c>
      <c r="M297" s="20" t="n">
        <v>210451</v>
      </c>
      <c r="N297" s="2">
        <f>IF(E297="","Waiting","Calibrated")</f>
        <v/>
      </c>
      <c r="O297" s="2" t="n"/>
      <c r="P297" s="2" t="inlineStr">
        <is>
          <t>ZM06</t>
        </is>
      </c>
      <c r="Q297" s="2" t="n"/>
      <c r="R297" s="28" t="n"/>
      <c r="S297" s="28" t="inlineStr">
        <is>
          <t>12HAC58GH101</t>
        </is>
      </c>
      <c r="T297" s="32" t="n"/>
    </row>
    <row r="298" ht="30" customFormat="1" customHeight="1" s="5">
      <c r="A298" s="17" t="n">
        <v>296</v>
      </c>
      <c r="B298" s="17" t="inlineStr">
        <is>
          <t>KIPP12</t>
        </is>
      </c>
      <c r="C298" s="2" t="inlineStr">
        <is>
          <t>12LBG91CP001</t>
        </is>
      </c>
      <c r="D298" s="14" t="inlineStr">
        <is>
          <t>GT OTC OUT STEAM LINE PT-1</t>
        </is>
      </c>
      <c r="E298" s="37" t="n"/>
      <c r="F298" s="103" t="n">
        <v>-1</v>
      </c>
      <c r="G298" s="103" t="n">
        <v>500</v>
      </c>
      <c r="H298" s="103" t="n">
        <v>0</v>
      </c>
      <c r="I298" s="103" t="n">
        <v>192</v>
      </c>
      <c r="J298" s="4" t="inlineStr">
        <is>
          <t>Bar</t>
        </is>
      </c>
      <c r="K298" s="19" t="inlineStr">
        <is>
          <t>YOKOGAWA</t>
        </is>
      </c>
      <c r="L298" s="19" t="inlineStr">
        <is>
          <t>EJA530E</t>
        </is>
      </c>
      <c r="M298" s="19" t="inlineStr">
        <is>
          <t>91S213325</t>
        </is>
      </c>
      <c r="N298" s="2">
        <f>IF(E298="","Waiting","Calibrated")</f>
        <v/>
      </c>
      <c r="O298" s="2" t="n"/>
      <c r="P298" s="2" t="inlineStr">
        <is>
          <t>ZM06</t>
        </is>
      </c>
      <c r="Q298" s="2" t="n"/>
      <c r="R298" s="28" t="n"/>
      <c r="S298" s="28" t="n"/>
      <c r="T298" s="32" t="n"/>
    </row>
    <row r="299" ht="30" customFormat="1" customHeight="1" s="5">
      <c r="A299" s="17" t="n">
        <v>297</v>
      </c>
      <c r="B299" s="17" t="inlineStr">
        <is>
          <t>KIPP12</t>
        </is>
      </c>
      <c r="C299" s="2" t="inlineStr">
        <is>
          <t>12LBG91CP002</t>
        </is>
      </c>
      <c r="D299" s="14" t="inlineStr">
        <is>
          <t>GT OTC OUT STEAM LINE PT-1</t>
        </is>
      </c>
      <c r="E299" s="37" t="n"/>
      <c r="F299" s="103" t="n">
        <v>-1</v>
      </c>
      <c r="G299" s="103" t="n">
        <v>500</v>
      </c>
      <c r="H299" s="103" t="n">
        <v>0</v>
      </c>
      <c r="I299" s="103" t="n">
        <v>192</v>
      </c>
      <c r="J299" s="4" t="inlineStr">
        <is>
          <t>Bar</t>
        </is>
      </c>
      <c r="K299" s="19" t="inlineStr">
        <is>
          <t>YOKOGAWA</t>
        </is>
      </c>
      <c r="L299" s="19" t="inlineStr">
        <is>
          <t>EJA530E</t>
        </is>
      </c>
      <c r="M299" s="19" t="inlineStr">
        <is>
          <t>91S213327</t>
        </is>
      </c>
      <c r="N299" s="2">
        <f>IF(E299="","Waiting","Calibrated")</f>
        <v/>
      </c>
      <c r="O299" s="2" t="n"/>
      <c r="P299" s="2" t="inlineStr">
        <is>
          <t>ZM06</t>
        </is>
      </c>
      <c r="Q299" s="2" t="n"/>
      <c r="R299" s="28" t="n"/>
      <c r="S299" s="28" t="n"/>
      <c r="T299" s="32" t="n"/>
    </row>
    <row r="300" ht="30" customFormat="1" customHeight="1" s="5">
      <c r="A300" s="17" t="n">
        <v>298</v>
      </c>
      <c r="B300" s="17" t="inlineStr">
        <is>
          <t>KIPP12</t>
        </is>
      </c>
      <c r="C300" s="2" t="inlineStr">
        <is>
          <t>12LCA20CF101</t>
        </is>
      </c>
      <c r="D300" s="14" t="inlineStr">
        <is>
          <t>LP STEAM BYPASS SPRAYAY WATER FT</t>
        </is>
      </c>
      <c r="E300" s="37" t="n">
        <v>46097</v>
      </c>
      <c r="F300" s="103" t="n">
        <v>-10197.2</v>
      </c>
      <c r="G300" s="103" t="n">
        <v>10197.2</v>
      </c>
      <c r="H300" s="103" t="n">
        <v>0</v>
      </c>
      <c r="I300" s="103" t="n">
        <v>5000</v>
      </c>
      <c r="J300" s="4" t="inlineStr">
        <is>
          <t>mmH2O</t>
        </is>
      </c>
      <c r="K300" s="19" t="inlineStr">
        <is>
          <t>YOKOGAWA</t>
        </is>
      </c>
      <c r="L300" s="19" t="inlineStr">
        <is>
          <t>EJA110E</t>
        </is>
      </c>
      <c r="M300" s="19" t="inlineStr">
        <is>
          <t>91S313063</t>
        </is>
      </c>
      <c r="N300" s="2">
        <f>IF(E300="","Waiting","Calibrated")</f>
        <v/>
      </c>
      <c r="O300" s="2" t="n"/>
      <c r="P300" s="2" t="inlineStr">
        <is>
          <t>ZM06</t>
        </is>
      </c>
      <c r="Q300" s="2" t="n"/>
      <c r="R300" s="28" t="n"/>
      <c r="S300" s="28" t="n"/>
      <c r="T300" s="32" t="n"/>
    </row>
    <row r="301" ht="30" customFormat="1" customHeight="1" s="5">
      <c r="A301" s="17" t="n">
        <v>299</v>
      </c>
      <c r="B301" s="17" t="inlineStr">
        <is>
          <t>KIPP12</t>
        </is>
      </c>
      <c r="C301" s="2" t="inlineStr">
        <is>
          <t>12LCA21CF101</t>
        </is>
      </c>
      <c r="D301" s="14" t="inlineStr">
        <is>
          <t>HOT REHEAT STEAM BYPASS SPRAYAY WATER FT</t>
        </is>
      </c>
      <c r="E301" s="37" t="n">
        <v>46097</v>
      </c>
      <c r="F301" s="103" t="n">
        <v>-10197.2</v>
      </c>
      <c r="G301" s="103" t="n">
        <v>10197.2</v>
      </c>
      <c r="H301" s="103" t="n">
        <v>0</v>
      </c>
      <c r="I301" s="103" t="n">
        <v>5000</v>
      </c>
      <c r="J301" s="4" t="inlineStr">
        <is>
          <t>mmH2O</t>
        </is>
      </c>
      <c r="K301" s="19" t="inlineStr">
        <is>
          <t>YOKOGAWA</t>
        </is>
      </c>
      <c r="L301" s="19" t="inlineStr">
        <is>
          <t>EJA110E</t>
        </is>
      </c>
      <c r="M301" s="19" t="inlineStr">
        <is>
          <t>91S313061</t>
        </is>
      </c>
      <c r="N301" s="2">
        <f>IF(E301="","Waiting","Calibrated")</f>
        <v/>
      </c>
      <c r="O301" s="2" t="n"/>
      <c r="P301" s="2" t="inlineStr">
        <is>
          <t>ZM06</t>
        </is>
      </c>
      <c r="Q301" s="2" t="n"/>
      <c r="R301" s="28" t="n"/>
      <c r="S301" s="28" t="n"/>
      <c r="T301" s="32" t="n"/>
    </row>
    <row r="302" ht="30" customFormat="1" customHeight="1" s="5">
      <c r="A302" s="17" t="n">
        <v>300</v>
      </c>
      <c r="B302" s="17" t="inlineStr">
        <is>
          <t>KIPP12</t>
        </is>
      </c>
      <c r="C302" s="2" t="inlineStr">
        <is>
          <t>12MBA30CP001</t>
        </is>
      </c>
      <c r="D302" s="14" t="inlineStr">
        <is>
          <t>PRESSURE MEASUREMENT EXHAUST DIFFUSER</t>
        </is>
      </c>
      <c r="E302" s="37" t="n"/>
      <c r="F302" s="103" t="n">
        <v>0</v>
      </c>
      <c r="G302" s="103" t="n">
        <v>2.0684</v>
      </c>
      <c r="H302" s="103" t="n">
        <v>0.8</v>
      </c>
      <c r="I302" s="103" t="n">
        <v>1.2</v>
      </c>
      <c r="J302" s="4" t="inlineStr">
        <is>
          <t>Bar</t>
        </is>
      </c>
      <c r="K302" s="19" t="inlineStr">
        <is>
          <t>ROSEMOUNT</t>
        </is>
      </c>
      <c r="L302" s="19" t="inlineStr">
        <is>
          <t>3051 PT</t>
        </is>
      </c>
      <c r="M302" s="19" t="n">
        <v>9824808</v>
      </c>
      <c r="N302" s="2">
        <f>IF(E302="","Waiting","Calibrated")</f>
        <v/>
      </c>
      <c r="O302" s="2" t="n"/>
      <c r="P302" s="2" t="inlineStr">
        <is>
          <t>ZM06</t>
        </is>
      </c>
      <c r="Q302" s="2" t="n"/>
      <c r="R302" s="28" t="n"/>
      <c r="S302" s="28" t="n"/>
      <c r="T302" s="32" t="n"/>
    </row>
    <row r="303" ht="30" customFormat="1" customHeight="1" s="5">
      <c r="A303" s="17" t="n">
        <v>301</v>
      </c>
      <c r="B303" s="17" t="inlineStr">
        <is>
          <t>KIPP12</t>
        </is>
      </c>
      <c r="C303" s="2" t="inlineStr">
        <is>
          <t>12MBA30CP003</t>
        </is>
      </c>
      <c r="D303" s="14" t="inlineStr">
        <is>
          <t>PRESSURE MEASUREMENT EXHAUST DIFFUSER</t>
        </is>
      </c>
      <c r="E303" s="37" t="n"/>
      <c r="F303" s="103" t="n">
        <v>0</v>
      </c>
      <c r="G303" s="103" t="n">
        <v>2.0684</v>
      </c>
      <c r="H303" s="103" t="n">
        <v>0.8</v>
      </c>
      <c r="I303" s="103" t="n">
        <v>1.2</v>
      </c>
      <c r="J303" s="4" t="inlineStr">
        <is>
          <t>Bar</t>
        </is>
      </c>
      <c r="K303" s="19" t="inlineStr">
        <is>
          <t>ROSEMOUNT</t>
        </is>
      </c>
      <c r="L303" s="19" t="inlineStr">
        <is>
          <t>3051 PT</t>
        </is>
      </c>
      <c r="M303" s="19" t="n">
        <v>9824809</v>
      </c>
      <c r="N303" s="2">
        <f>IF(E303="","Waiting","Calibrated")</f>
        <v/>
      </c>
      <c r="O303" s="2" t="n"/>
      <c r="P303" s="2" t="inlineStr">
        <is>
          <t>ZM06</t>
        </is>
      </c>
      <c r="Q303" s="2" t="n"/>
      <c r="R303" s="28" t="n"/>
      <c r="S303" s="28" t="n"/>
      <c r="T303" s="32" t="n"/>
    </row>
    <row r="304" ht="30" customFormat="1" customHeight="1" s="5">
      <c r="A304" s="17" t="n">
        <v>302</v>
      </c>
      <c r="B304" s="17" t="inlineStr">
        <is>
          <t>KIPP12</t>
        </is>
      </c>
      <c r="C304" s="2" t="inlineStr">
        <is>
          <t>12MBA30CP004</t>
        </is>
      </c>
      <c r="D304" s="14" t="inlineStr">
        <is>
          <t>PRESSURE MEASUREMENT EXHAUST DIFFUSER</t>
        </is>
      </c>
      <c r="E304" s="37" t="n"/>
      <c r="F304" s="103" t="n">
        <v>0</v>
      </c>
      <c r="G304" s="103" t="n">
        <v>2.0684</v>
      </c>
      <c r="H304" s="103" t="n">
        <v>0.8</v>
      </c>
      <c r="I304" s="103" t="n">
        <v>1.2</v>
      </c>
      <c r="J304" s="4" t="inlineStr">
        <is>
          <t>Bar</t>
        </is>
      </c>
      <c r="K304" s="19" t="inlineStr">
        <is>
          <t>ROSEMOUNT</t>
        </is>
      </c>
      <c r="L304" s="19" t="inlineStr">
        <is>
          <t>3051 PT</t>
        </is>
      </c>
      <c r="M304" s="19" t="n">
        <v>9824810</v>
      </c>
      <c r="N304" s="2">
        <f>IF(E304="","Waiting","Calibrated")</f>
        <v/>
      </c>
      <c r="O304" s="2" t="n"/>
      <c r="P304" s="2" t="inlineStr">
        <is>
          <t>ZM06</t>
        </is>
      </c>
      <c r="Q304" s="2" t="n"/>
      <c r="R304" s="28" t="n"/>
      <c r="S304" s="28" t="n"/>
      <c r="T304" s="32" t="n"/>
    </row>
    <row r="305" ht="30" customFormat="1" customHeight="1" s="5">
      <c r="A305" s="17" t="n">
        <v>303</v>
      </c>
      <c r="B305" s="17" t="inlineStr">
        <is>
          <t>KIPP12</t>
        </is>
      </c>
      <c r="C305" s="2" t="inlineStr">
        <is>
          <t>12MBA80CP051</t>
        </is>
      </c>
      <c r="D305" s="14" t="inlineStr">
        <is>
          <t>GT AFT COMPRESSOR 1H PT</t>
        </is>
      </c>
      <c r="E305" s="37" t="n"/>
      <c r="F305" s="103" t="n">
        <v>-137.89</v>
      </c>
      <c r="G305" s="103" t="n">
        <v>137.89</v>
      </c>
      <c r="H305" s="103" t="n">
        <v>0</v>
      </c>
      <c r="I305" s="103" t="n">
        <v>40</v>
      </c>
      <c r="J305" s="4" t="inlineStr">
        <is>
          <t>Bar</t>
        </is>
      </c>
      <c r="K305" s="19" t="inlineStr">
        <is>
          <t>ROSEMOUNT</t>
        </is>
      </c>
      <c r="L305" s="19" t="inlineStr">
        <is>
          <t>3051CG</t>
        </is>
      </c>
      <c r="M305" s="20" t="n">
        <v>9825265</v>
      </c>
      <c r="N305" s="2">
        <f>IF(E305="","Waiting","Calibrated")</f>
        <v/>
      </c>
      <c r="O305" s="2" t="n"/>
      <c r="P305" s="2" t="inlineStr">
        <is>
          <t>ZM06</t>
        </is>
      </c>
      <c r="Q305" s="2" t="n"/>
      <c r="R305" s="28" t="inlineStr">
        <is>
          <t>3051CG5A22A1BE8Q4CTA9258</t>
        </is>
      </c>
      <c r="S305" s="28" t="n"/>
      <c r="T305" s="32" t="n"/>
    </row>
    <row r="306" ht="30" customFormat="1" customHeight="1" s="5">
      <c r="A306" s="17" t="n">
        <v>304</v>
      </c>
      <c r="B306" s="17" t="inlineStr">
        <is>
          <t>KIPP12</t>
        </is>
      </c>
      <c r="C306" s="2" t="inlineStr">
        <is>
          <t>12MBA80CP052</t>
        </is>
      </c>
      <c r="D306" s="14" t="inlineStr">
        <is>
          <t>GT AFT COMPRESSOR 4H PT</t>
        </is>
      </c>
      <c r="E306" s="37" t="n"/>
      <c r="F306" s="103" t="n">
        <v>-137.89</v>
      </c>
      <c r="G306" s="103" t="n">
        <v>137.89</v>
      </c>
      <c r="H306" s="103" t="n">
        <v>0</v>
      </c>
      <c r="I306" s="103" t="n">
        <v>40</v>
      </c>
      <c r="J306" s="4" t="inlineStr">
        <is>
          <t>Bar</t>
        </is>
      </c>
      <c r="K306" s="19" t="inlineStr">
        <is>
          <t>ROSEMOUNT</t>
        </is>
      </c>
      <c r="L306" s="19" t="inlineStr">
        <is>
          <t>3051CG</t>
        </is>
      </c>
      <c r="M306" s="20" t="n">
        <v>9825266</v>
      </c>
      <c r="N306" s="2">
        <f>IF(E306="","Waiting","Calibrated")</f>
        <v/>
      </c>
      <c r="O306" s="2" t="n"/>
      <c r="P306" s="2" t="inlineStr">
        <is>
          <t>ZM06</t>
        </is>
      </c>
      <c r="Q306" s="2" t="n"/>
      <c r="R306" s="28" t="inlineStr">
        <is>
          <t>3051CG5A22A1BE8Q4CTA9258</t>
        </is>
      </c>
      <c r="S306" s="28" t="n"/>
      <c r="T306" s="32" t="n"/>
    </row>
    <row r="307" ht="30" customFormat="1" customHeight="1" s="5">
      <c r="A307" s="17" t="n">
        <v>305</v>
      </c>
      <c r="B307" s="17" t="inlineStr">
        <is>
          <t>KIPP12</t>
        </is>
      </c>
      <c r="C307" s="2" t="inlineStr">
        <is>
          <t>12MBA80CP054</t>
        </is>
      </c>
      <c r="D307" s="14" t="inlineStr">
        <is>
          <t>P AFT COMPRESSOR 8H PT</t>
        </is>
      </c>
      <c r="E307" s="37" t="n"/>
      <c r="F307" s="103" t="n">
        <v>-137.89</v>
      </c>
      <c r="G307" s="103" t="n">
        <v>137.89</v>
      </c>
      <c r="H307" s="103" t="n">
        <v>0</v>
      </c>
      <c r="I307" s="103" t="n">
        <v>40</v>
      </c>
      <c r="J307" s="4" t="inlineStr">
        <is>
          <t>Bar</t>
        </is>
      </c>
      <c r="K307" s="19" t="inlineStr">
        <is>
          <t>ROSEMOUNT</t>
        </is>
      </c>
      <c r="L307" s="20" t="n">
        <v>3051</v>
      </c>
      <c r="M307" s="20" t="n">
        <v>9825267</v>
      </c>
      <c r="N307" s="2">
        <f>IF(E307="","Waiting","Calibrated")</f>
        <v/>
      </c>
      <c r="O307" s="2" t="n"/>
      <c r="P307" s="2" t="inlineStr">
        <is>
          <t>ZM06</t>
        </is>
      </c>
      <c r="Q307" s="2" t="n"/>
      <c r="R307" s="28" t="inlineStr">
        <is>
          <t>3051CG5A22A1BE8Q4CTA9258</t>
        </is>
      </c>
      <c r="S307" s="28" t="n"/>
      <c r="T307" s="32" t="n"/>
    </row>
    <row r="308" ht="30" customFormat="1" customHeight="1" s="5">
      <c r="A308" s="17" t="n">
        <v>306</v>
      </c>
      <c r="B308" s="17" t="inlineStr">
        <is>
          <t>KIPP12</t>
        </is>
      </c>
      <c r="C308" s="2" t="inlineStr">
        <is>
          <t>12MBE41CP013</t>
        </is>
      </c>
      <c r="D308" s="14" t="inlineStr">
        <is>
          <t>GT H/F WATER PUMP SUCTION FILTER PDT</t>
        </is>
      </c>
      <c r="E308" s="37" t="n"/>
      <c r="F308" s="103" t="n">
        <v>0</v>
      </c>
      <c r="G308" s="103" t="n">
        <v>0</v>
      </c>
      <c r="H308" s="103" t="n">
        <v>-1000</v>
      </c>
      <c r="I308" s="103" t="n">
        <v>2200</v>
      </c>
      <c r="J308" s="4" t="inlineStr">
        <is>
          <t>mBar</t>
        </is>
      </c>
      <c r="K308" s="19" t="inlineStr">
        <is>
          <t>ROSEMOUNT</t>
        </is>
      </c>
      <c r="L308" s="19" t="inlineStr">
        <is>
          <t>2088TG</t>
        </is>
      </c>
      <c r="M308" s="20" t="n">
        <v>2753519</v>
      </c>
      <c r="N308" s="2">
        <f>IF(E308="","Waiting","Calibrated")</f>
        <v/>
      </c>
      <c r="O308" s="2" t="n"/>
      <c r="P308" s="2" t="inlineStr">
        <is>
          <t>ZM06</t>
        </is>
      </c>
      <c r="Q308" s="2" t="n"/>
      <c r="R308" s="28" t="n"/>
      <c r="S308" s="28" t="n"/>
      <c r="T308" s="32" t="n"/>
    </row>
    <row r="309" ht="30" customFormat="1" customHeight="1" s="5">
      <c r="A309" s="17" t="n">
        <v>307</v>
      </c>
      <c r="B309" s="17" t="inlineStr">
        <is>
          <t>KIPP12</t>
        </is>
      </c>
      <c r="C309" s="2" t="inlineStr">
        <is>
          <t>12MBE41CP121</t>
        </is>
      </c>
      <c r="D309" s="14" t="inlineStr">
        <is>
          <t>GT H/F WATER PUMP-1 SUCTION PT</t>
        </is>
      </c>
      <c r="E309" s="37" t="n"/>
      <c r="F309" s="103" t="n">
        <v>-14.7</v>
      </c>
      <c r="G309" s="103" t="n">
        <v>800</v>
      </c>
      <c r="H309" s="103" t="n">
        <v>-14.7</v>
      </c>
      <c r="I309" s="103" t="n">
        <v>150</v>
      </c>
      <c r="J309" s="4" t="inlineStr">
        <is>
          <t>psi</t>
        </is>
      </c>
      <c r="K309" s="19" t="inlineStr">
        <is>
          <t>ROSEMOUNT</t>
        </is>
      </c>
      <c r="L309" s="19" t="inlineStr">
        <is>
          <t>2051TG</t>
        </is>
      </c>
      <c r="M309" s="20" t="n">
        <v>210447</v>
      </c>
      <c r="N309" s="2">
        <f>IF(E309="","Waiting","Calibrated")</f>
        <v/>
      </c>
      <c r="O309" s="2" t="n"/>
      <c r="P309" s="2" t="n"/>
      <c r="Q309" s="2" t="n"/>
      <c r="R309" s="28" t="n"/>
      <c r="S309" s="28" t="n"/>
      <c r="T309" s="32" t="n"/>
    </row>
    <row r="310" ht="30" customFormat="1" customHeight="1" s="5">
      <c r="A310" s="17" t="n">
        <v>308</v>
      </c>
      <c r="B310" s="17" t="inlineStr">
        <is>
          <t>KIPP12</t>
        </is>
      </c>
      <c r="C310" s="2" t="inlineStr">
        <is>
          <t>12MBE41CP122</t>
        </is>
      </c>
      <c r="D310" s="14" t="inlineStr">
        <is>
          <t>GT H/F WATER PUMP-2 SUCTION PT</t>
        </is>
      </c>
      <c r="E310" s="37" t="n"/>
      <c r="F310" s="103" t="n">
        <v>-14.7</v>
      </c>
      <c r="G310" s="103" t="n">
        <v>4000</v>
      </c>
      <c r="H310" s="103" t="n">
        <v>-14.7</v>
      </c>
      <c r="I310" s="103" t="n">
        <v>150</v>
      </c>
      <c r="J310" s="4" t="inlineStr">
        <is>
          <t>psi</t>
        </is>
      </c>
      <c r="K310" s="19" t="inlineStr">
        <is>
          <t>ROSEMOUNT</t>
        </is>
      </c>
      <c r="L310" s="19" t="inlineStr">
        <is>
          <t>2051TG</t>
        </is>
      </c>
      <c r="M310" s="20" t="n">
        <v>210453</v>
      </c>
      <c r="N310" s="2">
        <f>IF(E310="","Waiting","Calibrated")</f>
        <v/>
      </c>
      <c r="O310" s="2" t="n"/>
      <c r="P310" s="2" t="n"/>
      <c r="Q310" s="2" t="n"/>
      <c r="R310" s="28" t="n"/>
      <c r="S310" s="28" t="n"/>
      <c r="T310" s="32" t="n"/>
    </row>
    <row r="311" ht="30" customFormat="1" customHeight="1" s="5">
      <c r="A311" s="17" t="n">
        <v>309</v>
      </c>
      <c r="B311" s="17" t="inlineStr">
        <is>
          <t>KIPP12</t>
        </is>
      </c>
      <c r="C311" s="2" t="inlineStr">
        <is>
          <t>12MBE41CP123</t>
        </is>
      </c>
      <c r="D311" s="14" t="inlineStr">
        <is>
          <t>GT H/F WATER PUMP-3 SUCTION PT</t>
        </is>
      </c>
      <c r="E311" s="37" t="n"/>
      <c r="F311" s="103" t="n">
        <v>-14.7</v>
      </c>
      <c r="G311" s="103" t="n">
        <v>800</v>
      </c>
      <c r="H311" s="103" t="n">
        <v>-14.7</v>
      </c>
      <c r="I311" s="103" t="n">
        <v>150</v>
      </c>
      <c r="J311" s="4" t="inlineStr">
        <is>
          <t>psi</t>
        </is>
      </c>
      <c r="K311" s="19" t="inlineStr">
        <is>
          <t>ROSEMOUNT</t>
        </is>
      </c>
      <c r="L311" s="19" t="inlineStr">
        <is>
          <t>2051TG</t>
        </is>
      </c>
      <c r="M311" s="20" t="n">
        <v>10195290</v>
      </c>
      <c r="N311" s="2">
        <f>IF(E311="","Waiting","Calibrated")</f>
        <v/>
      </c>
      <c r="O311" s="2" t="n"/>
      <c r="P311" s="2" t="n"/>
      <c r="Q311" s="2" t="n"/>
      <c r="R311" s="28" t="n"/>
      <c r="S311" s="28" t="n"/>
      <c r="T311" s="32" t="n"/>
    </row>
    <row r="312" ht="30" customFormat="1" customHeight="1" s="5">
      <c r="A312" s="17" t="n">
        <v>310</v>
      </c>
      <c r="B312" s="17" t="inlineStr">
        <is>
          <t>KIPP12</t>
        </is>
      </c>
      <c r="C312" s="2" t="inlineStr">
        <is>
          <t>12MBE41CP124</t>
        </is>
      </c>
      <c r="D312" s="14" t="inlineStr">
        <is>
          <t>GT H/F WATER PUMP-4 SUCTION PT</t>
        </is>
      </c>
      <c r="E312" s="37" t="n"/>
      <c r="F312" s="103" t="n">
        <v>-14.7</v>
      </c>
      <c r="G312" s="103" t="n">
        <v>4000</v>
      </c>
      <c r="H312" s="103" t="n">
        <v>-14.7</v>
      </c>
      <c r="I312" s="103" t="n">
        <v>150</v>
      </c>
      <c r="J312" s="4" t="inlineStr">
        <is>
          <t>psi</t>
        </is>
      </c>
      <c r="K312" s="19" t="inlineStr">
        <is>
          <t>ROSEMOUNT</t>
        </is>
      </c>
      <c r="L312" s="19" t="inlineStr">
        <is>
          <t>2051TG</t>
        </is>
      </c>
      <c r="M312" s="20" t="n">
        <v>10195289</v>
      </c>
      <c r="N312" s="2">
        <f>IF(E312="","Waiting","Calibrated")</f>
        <v/>
      </c>
      <c r="O312" s="2" t="n"/>
      <c r="P312" s="2" t="n"/>
      <c r="Q312" s="2" t="n"/>
      <c r="R312" s="28" t="n"/>
      <c r="S312" s="28" t="n"/>
      <c r="T312" s="32" t="n"/>
    </row>
    <row r="313" ht="30" customFormat="1" customHeight="1" s="5">
      <c r="A313" s="17" t="n">
        <v>311</v>
      </c>
      <c r="B313" s="17" t="inlineStr">
        <is>
          <t>KIPP12</t>
        </is>
      </c>
      <c r="C313" s="2" t="inlineStr">
        <is>
          <t>12MBE41CP141</t>
        </is>
      </c>
      <c r="D313" s="14" t="inlineStr">
        <is>
          <t>GT H/F WATER PUMP-1 DISCHARGE PT</t>
        </is>
      </c>
      <c r="E313" s="37" t="n"/>
      <c r="F313" s="103" t="n">
        <v>0</v>
      </c>
      <c r="G313" s="103" t="n">
        <v>4000</v>
      </c>
      <c r="H313" s="103" t="n">
        <v>-14.7</v>
      </c>
      <c r="I313" s="103" t="n">
        <v>4000</v>
      </c>
      <c r="J313" s="4" t="inlineStr">
        <is>
          <t>psi</t>
        </is>
      </c>
      <c r="K313" s="19" t="inlineStr">
        <is>
          <t>ROSEMOUNT</t>
        </is>
      </c>
      <c r="L313" s="19" t="inlineStr">
        <is>
          <t>2088TG</t>
        </is>
      </c>
      <c r="M313" s="20" t="n">
        <v>631491</v>
      </c>
      <c r="N313" s="2">
        <f>IF(E313="","Waiting","Calibrated")</f>
        <v/>
      </c>
      <c r="O313" s="2" t="n"/>
      <c r="P313" s="2" t="n"/>
      <c r="Q313" s="2" t="n"/>
      <c r="R313" s="28" t="n"/>
      <c r="S313" s="28" t="n"/>
      <c r="T313" s="32" t="n"/>
    </row>
    <row r="314" ht="30" customFormat="1" customHeight="1" s="5">
      <c r="A314" s="17" t="n">
        <v>312</v>
      </c>
      <c r="B314" s="17" t="inlineStr">
        <is>
          <t>KIPP12</t>
        </is>
      </c>
      <c r="C314" s="2" t="inlineStr">
        <is>
          <t>12MBE41CP142</t>
        </is>
      </c>
      <c r="D314" s="14" t="inlineStr">
        <is>
          <t>GT H/F WATER PUMP-2 DISCHARGE PT</t>
        </is>
      </c>
      <c r="E314" s="37" t="n"/>
      <c r="F314" s="103" t="n">
        <v>-14.7</v>
      </c>
      <c r="G314" s="103" t="n">
        <v>4000</v>
      </c>
      <c r="H314" s="103" t="n">
        <v>-14.7</v>
      </c>
      <c r="I314" s="103" t="n">
        <v>4000</v>
      </c>
      <c r="J314" s="4" t="inlineStr">
        <is>
          <t>psi</t>
        </is>
      </c>
      <c r="K314" s="19" t="inlineStr">
        <is>
          <t>ROSEMOUNT</t>
        </is>
      </c>
      <c r="L314" s="19" t="inlineStr">
        <is>
          <t>2088TG</t>
        </is>
      </c>
      <c r="M314" s="20" t="n">
        <v>631489</v>
      </c>
      <c r="N314" s="2">
        <f>IF(E314="","Waiting","Calibrated")</f>
        <v/>
      </c>
      <c r="O314" s="2" t="n"/>
      <c r="P314" s="2" t="n"/>
      <c r="Q314" s="2" t="n"/>
      <c r="R314" s="28" t="n"/>
      <c r="S314" s="28" t="n"/>
      <c r="T314" s="32" t="n"/>
    </row>
    <row r="315" ht="30" customFormat="1" customHeight="1" s="5">
      <c r="A315" s="17" t="n">
        <v>313</v>
      </c>
      <c r="B315" s="17" t="inlineStr">
        <is>
          <t>KIPP12</t>
        </is>
      </c>
      <c r="C315" s="2" t="inlineStr">
        <is>
          <t>12MBE41CP143</t>
        </is>
      </c>
      <c r="D315" s="14" t="inlineStr">
        <is>
          <t>GT H/F WATER PUMP-3 DISCHARGE PT</t>
        </is>
      </c>
      <c r="E315" s="37" t="n"/>
      <c r="F315" s="103" t="n">
        <v>0</v>
      </c>
      <c r="G315" s="103" t="n">
        <v>4000</v>
      </c>
      <c r="H315" s="103" t="n">
        <v>-14.7</v>
      </c>
      <c r="I315" s="103" t="n">
        <v>4000</v>
      </c>
      <c r="J315" s="4" t="inlineStr">
        <is>
          <t>psi</t>
        </is>
      </c>
      <c r="K315" s="19" t="inlineStr">
        <is>
          <t>ROSEMOUNT</t>
        </is>
      </c>
      <c r="L315" s="19" t="inlineStr">
        <is>
          <t>2088TG</t>
        </is>
      </c>
      <c r="M315" s="20" t="n">
        <v>631490</v>
      </c>
      <c r="N315" s="2">
        <f>IF(E315="","Waiting","Calibrated")</f>
        <v/>
      </c>
      <c r="O315" s="2" t="n"/>
      <c r="P315" s="2" t="n"/>
      <c r="Q315" s="2" t="n"/>
      <c r="R315" s="28" t="n"/>
      <c r="S315" s="28" t="n"/>
      <c r="T315" s="32" t="n"/>
    </row>
    <row r="316" ht="30" customFormat="1" customHeight="1" s="5">
      <c r="A316" s="17" t="n">
        <v>314</v>
      </c>
      <c r="B316" s="17" t="inlineStr">
        <is>
          <t>KIPP12</t>
        </is>
      </c>
      <c r="C316" s="2" t="inlineStr">
        <is>
          <t>12MBE41CP144</t>
        </is>
      </c>
      <c r="D316" s="14" t="inlineStr">
        <is>
          <t>GT H/F WATER PUMP-4 DISCHARGE PT</t>
        </is>
      </c>
      <c r="E316" s="37" t="n"/>
      <c r="F316" s="103" t="n">
        <v>0</v>
      </c>
      <c r="G316" s="103" t="n">
        <v>4000</v>
      </c>
      <c r="H316" s="103" t="n">
        <v>-14.7</v>
      </c>
      <c r="I316" s="103" t="n">
        <v>4000</v>
      </c>
      <c r="J316" s="4" t="inlineStr">
        <is>
          <t>psi</t>
        </is>
      </c>
      <c r="K316" s="19" t="inlineStr">
        <is>
          <t>ROSEMOUNT</t>
        </is>
      </c>
      <c r="L316" s="19" t="inlineStr">
        <is>
          <t>2088TG</t>
        </is>
      </c>
      <c r="M316" s="20" t="n">
        <v>631487</v>
      </c>
      <c r="N316" s="2">
        <f>IF(E316="","Waiting","Calibrated")</f>
        <v/>
      </c>
      <c r="O316" s="2" t="n"/>
      <c r="P316" s="2" t="n"/>
      <c r="Q316" s="2" t="n"/>
      <c r="R316" s="28" t="n"/>
      <c r="S316" s="28" t="n"/>
      <c r="T316" s="32" t="n"/>
    </row>
    <row r="317" ht="30" customFormat="1" customHeight="1" s="5">
      <c r="A317" s="17" t="n">
        <v>315</v>
      </c>
      <c r="B317" s="17" t="inlineStr">
        <is>
          <t>KIPP12</t>
        </is>
      </c>
      <c r="C317" s="2" t="inlineStr">
        <is>
          <t>12MBH20CP007</t>
        </is>
      </c>
      <c r="D317" s="14" t="inlineStr">
        <is>
          <t>GT COOLING AIR CARR PT</t>
        </is>
      </c>
      <c r="E317" s="37" t="n"/>
      <c r="F317" s="103" t="n">
        <v>-137.89</v>
      </c>
      <c r="G317" s="103" t="n">
        <v>137.89</v>
      </c>
      <c r="H317" s="103" t="n">
        <v>0</v>
      </c>
      <c r="I317" s="103" t="n">
        <v>15</v>
      </c>
      <c r="J317" s="4" t="inlineStr">
        <is>
          <t>Bar</t>
        </is>
      </c>
      <c r="K317" s="19" t="inlineStr">
        <is>
          <t>ROSEMOUNT</t>
        </is>
      </c>
      <c r="L317" s="20" t="n">
        <v>3051</v>
      </c>
      <c r="M317" s="20" t="n">
        <v>9825271</v>
      </c>
      <c r="N317" s="2">
        <f>IF(E317="","Waiting","Calibrated")</f>
        <v/>
      </c>
      <c r="O317" s="2" t="n"/>
      <c r="P317" s="2" t="n"/>
      <c r="Q317" s="2" t="n"/>
      <c r="R317" s="28" t="inlineStr">
        <is>
          <t>3051CG5A22A1BE8Q4CTA9258</t>
        </is>
      </c>
      <c r="S317" s="28" t="n"/>
      <c r="T317" s="32" t="n"/>
    </row>
    <row r="318" ht="30" customFormat="1" customHeight="1" s="5">
      <c r="A318" s="17" t="n">
        <v>316</v>
      </c>
      <c r="B318" s="17" t="inlineStr">
        <is>
          <t>KIPP12</t>
        </is>
      </c>
      <c r="C318" s="2" t="inlineStr">
        <is>
          <t>12MBH20CP008</t>
        </is>
      </c>
      <c r="D318" s="14" t="inlineStr">
        <is>
          <t>GT COOLING AIR CARR PT</t>
        </is>
      </c>
      <c r="E318" s="37" t="n"/>
      <c r="F318" s="103" t="n">
        <v>-137.89</v>
      </c>
      <c r="G318" s="103" t="n">
        <v>137.89</v>
      </c>
      <c r="H318" s="103" t="n">
        <v>0</v>
      </c>
      <c r="I318" s="103" t="n">
        <v>15</v>
      </c>
      <c r="J318" s="4" t="inlineStr">
        <is>
          <t>Bar</t>
        </is>
      </c>
      <c r="K318" s="19" t="inlineStr">
        <is>
          <t>ROSEMOUNT</t>
        </is>
      </c>
      <c r="L318" s="20" t="n">
        <v>3051</v>
      </c>
      <c r="M318" s="20" t="n">
        <v>9825272</v>
      </c>
      <c r="N318" s="2">
        <f>IF(E318="","Waiting","Calibrated")</f>
        <v/>
      </c>
      <c r="O318" s="2" t="n"/>
      <c r="P318" s="2" t="n"/>
      <c r="Q318" s="2" t="n"/>
      <c r="R318" s="28" t="inlineStr">
        <is>
          <t>3051CG5A22A1BE8Q4CTA9258</t>
        </is>
      </c>
      <c r="S318" s="28" t="n"/>
      <c r="T318" s="32" t="n"/>
    </row>
    <row r="319" ht="30" customFormat="1" customHeight="1" s="5">
      <c r="A319" s="17" t="n">
        <v>317</v>
      </c>
      <c r="B319" s="17" t="inlineStr">
        <is>
          <t>KIPP12</t>
        </is>
      </c>
      <c r="C319" s="2" t="inlineStr">
        <is>
          <t>12MBH20CP009</t>
        </is>
      </c>
      <c r="D319" s="14" t="inlineStr">
        <is>
          <t>GT COOLING AIR CARR PT</t>
        </is>
      </c>
      <c r="E319" s="37" t="n"/>
      <c r="F319" s="103" t="n">
        <v>-137.89</v>
      </c>
      <c r="G319" s="103" t="n">
        <v>137.89</v>
      </c>
      <c r="H319" s="103" t="n">
        <v>0</v>
      </c>
      <c r="I319" s="103" t="n">
        <v>15</v>
      </c>
      <c r="J319" s="4" t="inlineStr">
        <is>
          <t>Bar</t>
        </is>
      </c>
      <c r="K319" s="19" t="inlineStr">
        <is>
          <t>ROSEMOUNT</t>
        </is>
      </c>
      <c r="L319" s="20" t="n">
        <v>3051</v>
      </c>
      <c r="M319" s="20" t="n">
        <v>9825273</v>
      </c>
      <c r="N319" s="2">
        <f>IF(E319="","Waiting","Calibrated")</f>
        <v/>
      </c>
      <c r="O319" s="2" t="n"/>
      <c r="P319" s="2" t="n"/>
      <c r="Q319" s="2" t="n"/>
      <c r="R319" s="28" t="inlineStr">
        <is>
          <t>3051CG5A22A1BE8Q4CTA9258</t>
        </is>
      </c>
      <c r="S319" s="28" t="n"/>
      <c r="T319" s="32" t="n"/>
    </row>
    <row r="320" ht="30" customFormat="1" customHeight="1" s="5">
      <c r="A320" s="17" t="n">
        <v>318</v>
      </c>
      <c r="B320" s="17" t="inlineStr">
        <is>
          <t>KIPP12</t>
        </is>
      </c>
      <c r="C320" s="2" t="inlineStr">
        <is>
          <t>12MBH30CL001</t>
        </is>
      </c>
      <c r="D320" s="14" t="inlineStr">
        <is>
          <t>LP OTC DIFFRENTIAL LEVEL TRANSMITTER</t>
        </is>
      </c>
      <c r="E320" s="37" t="n"/>
      <c r="F320" s="103" t="n">
        <v>-5</v>
      </c>
      <c r="G320" s="103" t="n">
        <v>5</v>
      </c>
      <c r="H320" s="103" t="n">
        <v>0</v>
      </c>
      <c r="I320" s="103" t="n">
        <v>-2</v>
      </c>
      <c r="J320" s="4" t="inlineStr">
        <is>
          <t>Bar</t>
        </is>
      </c>
      <c r="K320" s="19" t="inlineStr">
        <is>
          <t>YOKOGAWA</t>
        </is>
      </c>
      <c r="L320" s="19" t="inlineStr">
        <is>
          <t>EJA110E</t>
        </is>
      </c>
      <c r="M320" s="19" t="inlineStr">
        <is>
          <t>91S313553</t>
        </is>
      </c>
      <c r="N320" s="2">
        <f>IF(E320="","Waiting","Calibrated")</f>
        <v/>
      </c>
      <c r="O320" s="2" t="n"/>
      <c r="P320" s="2" t="n"/>
      <c r="Q320" s="2" t="n"/>
      <c r="R320" s="28" t="n"/>
      <c r="S320" s="28" t="n"/>
      <c r="T320" s="32" t="n"/>
    </row>
    <row r="321" ht="30" customFormat="1" customHeight="1" s="5">
      <c r="A321" s="17" t="n">
        <v>319</v>
      </c>
      <c r="B321" s="17" t="inlineStr">
        <is>
          <t>KIPP12</t>
        </is>
      </c>
      <c r="C321" s="2" t="inlineStr">
        <is>
          <t>12MBH30CL002</t>
        </is>
      </c>
      <c r="D321" s="14" t="inlineStr">
        <is>
          <t>LP OTC DIFFRENTIAL LEVEL TRANSMITTER</t>
        </is>
      </c>
      <c r="E321" s="37" t="n"/>
      <c r="F321" s="103" t="n">
        <v>-5</v>
      </c>
      <c r="G321" s="103" t="n">
        <v>5</v>
      </c>
      <c r="H321" s="103" t="n">
        <v>0</v>
      </c>
      <c r="I321" s="103" t="n">
        <v>-2</v>
      </c>
      <c r="J321" s="4" t="inlineStr">
        <is>
          <t>Bar</t>
        </is>
      </c>
      <c r="K321" s="19" t="inlineStr">
        <is>
          <t>YOKOGAWA</t>
        </is>
      </c>
      <c r="L321" s="19" t="inlineStr">
        <is>
          <t>EJA110E</t>
        </is>
      </c>
      <c r="M321" s="19" t="inlineStr">
        <is>
          <t>91S313554</t>
        </is>
      </c>
      <c r="N321" s="2">
        <f>IF(E321="","Waiting","Calibrated")</f>
        <v/>
      </c>
      <c r="O321" s="2" t="n"/>
      <c r="P321" s="2" t="n"/>
      <c r="Q321" s="2" t="n"/>
      <c r="R321" s="28" t="n"/>
      <c r="S321" s="28" t="n"/>
      <c r="T321" s="32" t="n"/>
    </row>
    <row r="322" ht="30" customFormat="1" customHeight="1" s="5">
      <c r="A322" s="17" t="n">
        <v>320</v>
      </c>
      <c r="B322" s="17" t="inlineStr">
        <is>
          <t>KIPP12</t>
        </is>
      </c>
      <c r="C322" s="2" t="inlineStr">
        <is>
          <t>12MBH30CP003</t>
        </is>
      </c>
      <c r="D322" s="14" t="inlineStr">
        <is>
          <t>P SEV COMBUSTOR PLENUM/KA01</t>
        </is>
      </c>
      <c r="E322" s="37" t="n"/>
      <c r="F322" s="103" t="n">
        <v>-137.89</v>
      </c>
      <c r="G322" s="103" t="n">
        <v>137.89</v>
      </c>
      <c r="H322" s="103" t="n">
        <v>0</v>
      </c>
      <c r="I322" s="103" t="n">
        <v>25</v>
      </c>
      <c r="J322" s="4" t="inlineStr">
        <is>
          <t>Bar</t>
        </is>
      </c>
      <c r="K322" s="19" t="inlineStr">
        <is>
          <t>YOKOGAWA</t>
        </is>
      </c>
      <c r="L322" s="20" t="n">
        <v>3051</v>
      </c>
      <c r="M322" s="19" t="n">
        <v>9825268</v>
      </c>
      <c r="N322" s="2">
        <f>IF(E322="","Waiting","Calibrated")</f>
        <v/>
      </c>
      <c r="O322" s="2" t="n"/>
      <c r="P322" s="2" t="n"/>
      <c r="Q322" s="2" t="n"/>
      <c r="R322" s="28" t="inlineStr">
        <is>
          <t>3051CG5A22A1BE8Q4CTA9258</t>
        </is>
      </c>
      <c r="S322" s="28" t="n"/>
      <c r="T322" s="32" t="n"/>
    </row>
    <row r="323" ht="30" customFormat="1" customHeight="1" s="5">
      <c r="A323" s="17" t="n">
        <v>321</v>
      </c>
      <c r="B323" s="17" t="inlineStr">
        <is>
          <t>KIPP12</t>
        </is>
      </c>
      <c r="C323" s="2" t="inlineStr">
        <is>
          <t>12MBH30CP004</t>
        </is>
      </c>
      <c r="D323" s="14" t="inlineStr">
        <is>
          <t>P SEV COMBUSTOR PLENUM/KA01</t>
        </is>
      </c>
      <c r="E323" s="37" t="n"/>
      <c r="F323" s="103" t="n">
        <v>137.89</v>
      </c>
      <c r="G323" s="103" t="n">
        <v>137.89</v>
      </c>
      <c r="H323" s="103" t="n">
        <v>0</v>
      </c>
      <c r="I323" s="103" t="n">
        <v>25</v>
      </c>
      <c r="J323" s="4" t="inlineStr">
        <is>
          <t>Bar</t>
        </is>
      </c>
      <c r="K323" s="19" t="inlineStr">
        <is>
          <t>ROSEMOUNT</t>
        </is>
      </c>
      <c r="L323" s="20" t="n">
        <v>3051</v>
      </c>
      <c r="M323" s="19" t="n">
        <v>9825269</v>
      </c>
      <c r="N323" s="2">
        <f>IF(E323="","Waiting","Calibrated")</f>
        <v/>
      </c>
      <c r="O323" s="2" t="n"/>
      <c r="P323" s="2" t="n"/>
      <c r="Q323" s="2" t="n"/>
      <c r="R323" s="28" t="inlineStr">
        <is>
          <t>3051CG5A22A1BE8Q4CTA9258</t>
        </is>
      </c>
      <c r="S323" s="28" t="n"/>
      <c r="T323" s="32" t="n"/>
    </row>
    <row r="324" ht="30" customFormat="1" customHeight="1" s="5">
      <c r="A324" s="17" t="n">
        <v>322</v>
      </c>
      <c r="B324" s="17" t="inlineStr">
        <is>
          <t>KIPP12</t>
        </is>
      </c>
      <c r="C324" s="2" t="inlineStr">
        <is>
          <t>12MBH30CP005</t>
        </is>
      </c>
      <c r="D324" s="14" t="inlineStr">
        <is>
          <t>P SEV COMBUSTOR PLENUM/KA01</t>
        </is>
      </c>
      <c r="E324" s="37" t="n"/>
      <c r="F324" s="103" t="n">
        <v>137.89</v>
      </c>
      <c r="G324" s="103" t="n">
        <v>137.89</v>
      </c>
      <c r="H324" s="103" t="n">
        <v>0</v>
      </c>
      <c r="I324" s="103" t="n">
        <v>25</v>
      </c>
      <c r="J324" s="4" t="inlineStr">
        <is>
          <t>Bar</t>
        </is>
      </c>
      <c r="K324" s="19" t="inlineStr">
        <is>
          <t>ROSEMOUNT</t>
        </is>
      </c>
      <c r="L324" s="20" t="n">
        <v>3051</v>
      </c>
      <c r="M324" s="19" t="n">
        <v>9825270</v>
      </c>
      <c r="N324" s="2">
        <f>IF(E324="","Waiting","Calibrated")</f>
        <v/>
      </c>
      <c r="O324" s="2" t="n"/>
      <c r="P324" s="2" t="n"/>
      <c r="Q324" s="2" t="n"/>
      <c r="R324" s="28" t="inlineStr">
        <is>
          <t>3051CG5A22A1BE8Q4CTA9258</t>
        </is>
      </c>
      <c r="S324" s="28" t="n"/>
      <c r="T324" s="32" t="n"/>
    </row>
    <row r="325" ht="30" customFormat="1" customHeight="1" s="5">
      <c r="A325" s="17" t="n">
        <v>323</v>
      </c>
      <c r="B325" s="17" t="inlineStr">
        <is>
          <t>KIPP12</t>
        </is>
      </c>
      <c r="C325" s="2" t="inlineStr">
        <is>
          <t>12MBH30CP015</t>
        </is>
      </c>
      <c r="D325" s="14" t="inlineStr">
        <is>
          <t>PRESSURE DIFF ACROSS LP AIR COOLER</t>
        </is>
      </c>
      <c r="E325" s="37" t="n"/>
      <c r="F325" s="103" t="n">
        <v>-20.684</v>
      </c>
      <c r="G325" s="103" t="n">
        <v>20.684</v>
      </c>
      <c r="H325" s="103" t="n">
        <v>0</v>
      </c>
      <c r="I325" s="103" t="n">
        <v>4</v>
      </c>
      <c r="J325" s="4" t="inlineStr">
        <is>
          <t>Bar</t>
        </is>
      </c>
      <c r="K325" s="19" t="inlineStr">
        <is>
          <t>ROSEMOUNT</t>
        </is>
      </c>
      <c r="L325" s="20" t="n">
        <v>3051</v>
      </c>
      <c r="M325" s="19" t="n">
        <v>9824812</v>
      </c>
      <c r="N325" s="2">
        <f>IF(E325="","Waiting","Calibrated")</f>
        <v/>
      </c>
      <c r="O325" s="2" t="n"/>
      <c r="P325" s="2" t="n"/>
      <c r="Q325" s="2" t="n"/>
      <c r="R325" s="28" t="n"/>
      <c r="S325" s="28" t="n"/>
      <c r="T325" s="32" t="n"/>
    </row>
    <row r="326" ht="30" customFormat="1" customHeight="1" s="5">
      <c r="A326" s="17" t="n">
        <v>324</v>
      </c>
      <c r="B326" s="17" t="inlineStr">
        <is>
          <t>KIPP12</t>
        </is>
      </c>
      <c r="C326" s="2" t="inlineStr">
        <is>
          <t>12MBH30CP020</t>
        </is>
      </c>
      <c r="D326" s="14" t="inlineStr">
        <is>
          <t>P QUENSCH WATER TO LP COOLER</t>
        </is>
      </c>
      <c r="E326" s="37" t="n"/>
      <c r="F326" s="103" t="n">
        <v>137.89</v>
      </c>
      <c r="G326" s="103" t="n">
        <v>137.89</v>
      </c>
      <c r="H326" s="103" t="n">
        <v>0</v>
      </c>
      <c r="I326" s="103" t="n">
        <v>30</v>
      </c>
      <c r="J326" s="4" t="inlineStr">
        <is>
          <t>Bar</t>
        </is>
      </c>
      <c r="K326" s="19" t="inlineStr">
        <is>
          <t>ROSEMOUNT</t>
        </is>
      </c>
      <c r="L326" s="20" t="n">
        <v>3051</v>
      </c>
      <c r="M326" s="19" t="n">
        <v>9825289</v>
      </c>
      <c r="N326" s="2">
        <f>IF(E326="","Waiting","Calibrated")</f>
        <v/>
      </c>
      <c r="O326" s="2" t="n"/>
      <c r="P326" s="2" t="n"/>
      <c r="Q326" s="2" t="n"/>
      <c r="R326" s="28" t="n"/>
      <c r="S326" s="28" t="n"/>
      <c r="T326" s="32" t="n"/>
    </row>
    <row r="327" ht="30" customFormat="1" customHeight="1" s="5">
      <c r="A327" s="17" t="n">
        <v>325</v>
      </c>
      <c r="B327" s="17" t="inlineStr">
        <is>
          <t>KIPP12</t>
        </is>
      </c>
      <c r="C327" s="2" t="inlineStr">
        <is>
          <t>12MBH30CP021</t>
        </is>
      </c>
      <c r="D327" s="14" t="inlineStr">
        <is>
          <t>DP SEV COMBUSTOR LINER</t>
        </is>
      </c>
      <c r="E327" s="37" t="n"/>
      <c r="F327" s="103" t="n">
        <v>-20.684</v>
      </c>
      <c r="G327" s="103" t="n">
        <v>20.684</v>
      </c>
      <c r="H327" s="103" t="n">
        <v>0</v>
      </c>
      <c r="I327" s="103" t="n">
        <v>5</v>
      </c>
      <c r="J327" s="4" t="inlineStr">
        <is>
          <t>Bar</t>
        </is>
      </c>
      <c r="K327" s="19" t="inlineStr">
        <is>
          <t>ROSEMOUNT</t>
        </is>
      </c>
      <c r="L327" s="20" t="n">
        <v>3051</v>
      </c>
      <c r="M327" s="20" t="n">
        <v>9825279</v>
      </c>
      <c r="N327" s="2">
        <f>IF(E327="","Waiting","Calibrated")</f>
        <v/>
      </c>
      <c r="O327" s="2" t="n"/>
      <c r="P327" s="2" t="n"/>
      <c r="Q327" s="2" t="n"/>
      <c r="R327" s="28" t="inlineStr">
        <is>
          <t>3051CD4A22A1BE8Q4CTA9258</t>
        </is>
      </c>
      <c r="S327" s="28" t="n"/>
      <c r="T327" s="32" t="n"/>
    </row>
    <row r="328" ht="30" customFormat="1" customHeight="1" s="5">
      <c r="A328" s="17" t="n">
        <v>326</v>
      </c>
      <c r="B328" s="17" t="inlineStr">
        <is>
          <t>KIPP12</t>
        </is>
      </c>
      <c r="C328" s="2" t="inlineStr">
        <is>
          <t>12MBH30CP022</t>
        </is>
      </c>
      <c r="D328" s="14" t="inlineStr">
        <is>
          <t>P DIFF SEV COMBUSTOR LINER/KA01</t>
        </is>
      </c>
      <c r="E328" s="37" t="n"/>
      <c r="F328" s="103" t="n">
        <v>-20.684</v>
      </c>
      <c r="G328" s="103" t="n">
        <v>20.684</v>
      </c>
      <c r="H328" s="103" t="n">
        <v>0</v>
      </c>
      <c r="I328" s="103" t="n">
        <v>5</v>
      </c>
      <c r="J328" s="4" t="inlineStr">
        <is>
          <t>Bar</t>
        </is>
      </c>
      <c r="K328" s="19" t="inlineStr">
        <is>
          <t>ROSEMOUNT</t>
        </is>
      </c>
      <c r="L328" s="20" t="n">
        <v>3051</v>
      </c>
      <c r="M328" s="20" t="n">
        <v>9825277</v>
      </c>
      <c r="N328" s="2">
        <f>IF(E328="","Waiting","Calibrated")</f>
        <v/>
      </c>
      <c r="O328" s="2" t="n"/>
      <c r="P328" s="2" t="n"/>
      <c r="Q328" s="2" t="n"/>
      <c r="R328" s="28" t="inlineStr">
        <is>
          <t>3051CD4A22A1BE8Q4CTA9258</t>
        </is>
      </c>
      <c r="S328" s="28" t="n"/>
      <c r="T328" s="32" t="n"/>
    </row>
    <row r="329" ht="30" customFormat="1" customHeight="1" s="5">
      <c r="A329" s="17" t="n">
        <v>327</v>
      </c>
      <c r="B329" s="17" t="inlineStr">
        <is>
          <t>KIPP12</t>
        </is>
      </c>
      <c r="C329" s="2" t="inlineStr">
        <is>
          <t>12MBH30CP023</t>
        </is>
      </c>
      <c r="D329" s="14" t="inlineStr">
        <is>
          <t>P DIFF SEV COMBUSTOR LINER/KA01</t>
        </is>
      </c>
      <c r="E329" s="37" t="n"/>
      <c r="F329" s="103" t="n">
        <v>-20.684</v>
      </c>
      <c r="G329" s="103" t="n">
        <v>20.684</v>
      </c>
      <c r="H329" s="103" t="n">
        <v>0</v>
      </c>
      <c r="I329" s="103" t="n">
        <v>5</v>
      </c>
      <c r="J329" s="4" t="inlineStr">
        <is>
          <t>Bar</t>
        </is>
      </c>
      <c r="K329" s="19" t="inlineStr">
        <is>
          <t>ROSEMOUNT</t>
        </is>
      </c>
      <c r="L329" s="20" t="n">
        <v>3051</v>
      </c>
      <c r="M329" s="20" t="n">
        <v>9825278</v>
      </c>
      <c r="N329" s="2">
        <f>IF(E329="","Waiting","Calibrated")</f>
        <v/>
      </c>
      <c r="O329" s="2" t="n"/>
      <c r="P329" s="2" t="n"/>
      <c r="Q329" s="2" t="n"/>
      <c r="R329" s="28" t="inlineStr">
        <is>
          <t>3051CD4A22A1BE8Q4CTA9258</t>
        </is>
      </c>
      <c r="S329" s="28" t="n"/>
      <c r="T329" s="32" t="n"/>
    </row>
    <row r="330" ht="30" customFormat="1" customHeight="1" s="5">
      <c r="A330" s="17" t="n">
        <v>328</v>
      </c>
      <c r="B330" s="17" t="inlineStr">
        <is>
          <t>KIPP12</t>
        </is>
      </c>
      <c r="C330" s="2" t="inlineStr">
        <is>
          <t>12MBH40CL001</t>
        </is>
      </c>
      <c r="D330" s="14" t="inlineStr">
        <is>
          <t>HP OTC DIFFRENTIAL LEVEL TRANSMITTER</t>
        </is>
      </c>
      <c r="E330" s="37" t="n"/>
      <c r="F330" s="103" t="n">
        <v>-5</v>
      </c>
      <c r="G330" s="103" t="n">
        <v>5</v>
      </c>
      <c r="H330" s="103" t="n">
        <v>0</v>
      </c>
      <c r="I330" s="103" t="n">
        <v>-2</v>
      </c>
      <c r="J330" s="4" t="inlineStr">
        <is>
          <t>Bar</t>
        </is>
      </c>
      <c r="K330" s="19" t="inlineStr">
        <is>
          <t>YOKOGAWA</t>
        </is>
      </c>
      <c r="L330" s="19" t="inlineStr">
        <is>
          <t>EJA110E</t>
        </is>
      </c>
      <c r="M330" s="19" t="inlineStr">
        <is>
          <t>91S313551</t>
        </is>
      </c>
      <c r="N330" s="2">
        <f>IF(E330="","Waiting","Calibrated")</f>
        <v/>
      </c>
      <c r="O330" s="2" t="n"/>
      <c r="P330" s="2" t="n"/>
      <c r="Q330" s="2" t="n"/>
      <c r="R330" s="28" t="n"/>
      <c r="S330" s="28" t="n"/>
      <c r="T330" s="32" t="n"/>
    </row>
    <row r="331" ht="30" customFormat="1" customHeight="1" s="5">
      <c r="A331" s="17" t="n">
        <v>329</v>
      </c>
      <c r="B331" s="17" t="inlineStr">
        <is>
          <t>KIPP12</t>
        </is>
      </c>
      <c r="C331" s="2" t="inlineStr">
        <is>
          <t>12MBH40CL002</t>
        </is>
      </c>
      <c r="D331" s="14" t="inlineStr">
        <is>
          <t>HP OTC DIFFRENTIAL LEVEL TRANSMITTER</t>
        </is>
      </c>
      <c r="E331" s="37" t="n"/>
      <c r="F331" s="103" t="n">
        <v>-5</v>
      </c>
      <c r="G331" s="103" t="n">
        <v>5</v>
      </c>
      <c r="H331" s="103" t="n">
        <v>0</v>
      </c>
      <c r="I331" s="103" t="n">
        <v>-2</v>
      </c>
      <c r="J331" s="4" t="inlineStr">
        <is>
          <t>Bar</t>
        </is>
      </c>
      <c r="K331" s="19" t="inlineStr">
        <is>
          <t>YOKOGAWA</t>
        </is>
      </c>
      <c r="L331" s="19" t="inlineStr">
        <is>
          <t>EJA110E</t>
        </is>
      </c>
      <c r="M331" s="19" t="inlineStr">
        <is>
          <t>91S313552</t>
        </is>
      </c>
      <c r="N331" s="2">
        <f>IF(E331="","Waiting","Calibrated")</f>
        <v/>
      </c>
      <c r="O331" s="2" t="n"/>
      <c r="P331" s="2" t="n"/>
      <c r="Q331" s="2" t="n"/>
      <c r="R331" s="28" t="n"/>
      <c r="S331" s="28" t="n"/>
      <c r="T331" s="32" t="n"/>
    </row>
    <row r="332" ht="30" customFormat="1" customHeight="1" s="5">
      <c r="A332" s="17" t="n">
        <v>330</v>
      </c>
      <c r="B332" s="17" t="inlineStr">
        <is>
          <t>KIPP12</t>
        </is>
      </c>
      <c r="C332" s="2" t="inlineStr">
        <is>
          <t>12MBH40CP015</t>
        </is>
      </c>
      <c r="D332" s="14" t="inlineStr">
        <is>
          <t>DP HP OTC</t>
        </is>
      </c>
      <c r="E332" s="37" t="n"/>
      <c r="F332" s="103" t="n">
        <v>-621.6</v>
      </c>
      <c r="G332" s="103" t="n">
        <v>621.6</v>
      </c>
      <c r="H332" s="103" t="n">
        <v>0</v>
      </c>
      <c r="I332" s="103" t="n">
        <v>500</v>
      </c>
      <c r="J332" s="4" t="inlineStr">
        <is>
          <t>mBar</t>
        </is>
      </c>
      <c r="K332" s="19" t="inlineStr">
        <is>
          <t>ROSEMOUNT</t>
        </is>
      </c>
      <c r="L332" s="19" t="inlineStr">
        <is>
          <t>3051 PT</t>
        </is>
      </c>
      <c r="M332" s="19" t="n">
        <v>9825291</v>
      </c>
      <c r="N332" s="2">
        <f>IF(E332="","Waiting","Calibrated")</f>
        <v/>
      </c>
      <c r="O332" s="2" t="n"/>
      <c r="P332" s="2" t="n"/>
      <c r="Q332" s="2" t="n"/>
      <c r="R332" s="28" t="n"/>
      <c r="S332" s="28" t="n"/>
      <c r="T332" s="32" t="n"/>
    </row>
    <row r="333" ht="30" customFormat="1" customHeight="1" s="5">
      <c r="A333" s="17" t="n">
        <v>331</v>
      </c>
      <c r="B333" s="17" t="inlineStr">
        <is>
          <t>KIPP12</t>
        </is>
      </c>
      <c r="C333" s="2" t="inlineStr">
        <is>
          <t>12MBH41CP102</t>
        </is>
      </c>
      <c r="D333" s="14" t="inlineStr">
        <is>
          <t>PRESSURE AFTER BLOW-OFF BYPASS VALVE</t>
        </is>
      </c>
      <c r="E333" s="37" t="n"/>
      <c r="F333" s="103" t="n">
        <v>-137.89</v>
      </c>
      <c r="G333" s="103" t="n">
        <v>137.89</v>
      </c>
      <c r="H333" s="103" t="n">
        <v>0</v>
      </c>
      <c r="I333" s="103" t="n">
        <v>40</v>
      </c>
      <c r="J333" s="4" t="inlineStr">
        <is>
          <t>Bar</t>
        </is>
      </c>
      <c r="K333" s="19" t="inlineStr">
        <is>
          <t>ROSEMOUNT</t>
        </is>
      </c>
      <c r="L333" s="19" t="inlineStr">
        <is>
          <t>3051CD</t>
        </is>
      </c>
      <c r="M333" s="19" t="n"/>
      <c r="N333" s="2">
        <f>IF(E333="","Waiting","Calibrated")</f>
        <v/>
      </c>
      <c r="O333" s="2" t="n"/>
      <c r="P333" s="2" t="n"/>
      <c r="Q333" s="2" t="n"/>
      <c r="R333" s="28" t="n"/>
      <c r="S333" s="28" t="n"/>
      <c r="T333" s="32" t="n"/>
    </row>
    <row r="334" ht="30" customFormat="1" customHeight="1" s="5">
      <c r="A334" s="17" t="n">
        <v>332</v>
      </c>
      <c r="B334" s="17" t="inlineStr">
        <is>
          <t>KIPP12</t>
        </is>
      </c>
      <c r="C334" s="2" t="inlineStr">
        <is>
          <t>12MBH41CP103</t>
        </is>
      </c>
      <c r="D334" s="14" t="inlineStr">
        <is>
          <t>DP FLOW MEASUREMENT</t>
        </is>
      </c>
      <c r="E334" s="37" t="n"/>
      <c r="F334" s="103" t="n">
        <v>-20.684</v>
      </c>
      <c r="G334" s="103" t="n">
        <v>20.684</v>
      </c>
      <c r="H334" s="103" t="n">
        <v>0</v>
      </c>
      <c r="I334" s="103" t="n">
        <v>10</v>
      </c>
      <c r="J334" s="4" t="inlineStr">
        <is>
          <t>Bar</t>
        </is>
      </c>
      <c r="K334" s="19" t="inlineStr">
        <is>
          <t>ROSEMOUNT</t>
        </is>
      </c>
      <c r="L334" s="19" t="inlineStr">
        <is>
          <t>3051CD</t>
        </is>
      </c>
      <c r="M334" s="19" t="n"/>
      <c r="N334" s="2">
        <f>IF(E334="","Waiting","Calibrated")</f>
        <v/>
      </c>
      <c r="O334" s="2" t="n"/>
      <c r="P334" s="2" t="n"/>
      <c r="Q334" s="2" t="n"/>
      <c r="R334" s="28" t="n"/>
      <c r="S334" s="28" t="n"/>
      <c r="T334" s="32" t="n"/>
    </row>
    <row r="335" ht="30" customFormat="1" customHeight="1" s="5">
      <c r="A335" s="17" t="n">
        <v>333</v>
      </c>
      <c r="B335" s="17" t="inlineStr">
        <is>
          <t>KIPP12</t>
        </is>
      </c>
      <c r="C335" s="2" t="inlineStr">
        <is>
          <t>12MBH52CP001</t>
        </is>
      </c>
      <c r="D335" s="14" t="inlineStr">
        <is>
          <t>EXHAUST BEARING FAN 1 PDI</t>
        </is>
      </c>
      <c r="E335" s="37" t="n"/>
      <c r="F335" s="103" t="n">
        <v>-621.6</v>
      </c>
      <c r="G335" s="103" t="n">
        <v>621.6</v>
      </c>
      <c r="H335" s="103" t="n">
        <v>0</v>
      </c>
      <c r="I335" s="103" t="n">
        <v>400</v>
      </c>
      <c r="J335" s="4" t="inlineStr">
        <is>
          <t>mBar</t>
        </is>
      </c>
      <c r="K335" s="19" t="inlineStr">
        <is>
          <t>ROSEMOUNT</t>
        </is>
      </c>
      <c r="L335" s="19" t="inlineStr">
        <is>
          <t>3051 PT</t>
        </is>
      </c>
      <c r="M335" s="19" t="n">
        <v>9891375</v>
      </c>
      <c r="N335" s="2">
        <f>IF(E335="","Waiting","Calibrated")</f>
        <v/>
      </c>
      <c r="O335" s="2" t="n"/>
      <c r="P335" s="2" t="n"/>
      <c r="Q335" s="2" t="n"/>
      <c r="R335" s="28" t="n"/>
      <c r="S335" s="28" t="n"/>
      <c r="T335" s="32" t="n"/>
    </row>
    <row r="336" ht="30" customFormat="1" customHeight="1" s="5">
      <c r="A336" s="17" t="n">
        <v>334</v>
      </c>
      <c r="B336" s="17" t="inlineStr">
        <is>
          <t>KIPP12</t>
        </is>
      </c>
      <c r="C336" s="2" t="inlineStr">
        <is>
          <t>12MBH52CP002</t>
        </is>
      </c>
      <c r="D336" s="14" t="inlineStr">
        <is>
          <t>EXHAUST BEARING FAN 2 PDI</t>
        </is>
      </c>
      <c r="E336" s="37" t="n"/>
      <c r="F336" s="103" t="n">
        <v>-621.6</v>
      </c>
      <c r="G336" s="103" t="n">
        <v>621.6</v>
      </c>
      <c r="H336" s="103" t="n">
        <v>0</v>
      </c>
      <c r="I336" s="103" t="n">
        <v>400</v>
      </c>
      <c r="J336" s="4" t="inlineStr">
        <is>
          <t>mBar</t>
        </is>
      </c>
      <c r="K336" s="19" t="inlineStr">
        <is>
          <t>ROSEMOUNT</t>
        </is>
      </c>
      <c r="L336" s="19" t="inlineStr">
        <is>
          <t>3051 PT</t>
        </is>
      </c>
      <c r="M336" s="20" t="n">
        <v>9891376</v>
      </c>
      <c r="N336" s="2">
        <f>IF(E336="","Waiting","Calibrated")</f>
        <v/>
      </c>
      <c r="O336" s="2" t="n"/>
      <c r="P336" s="2" t="n"/>
      <c r="Q336" s="2" t="n"/>
      <c r="R336" s="28" t="n"/>
      <c r="S336" s="28" t="n"/>
      <c r="T336" s="32" t="n"/>
    </row>
    <row r="337" ht="30" customFormat="1" customHeight="1" s="5">
      <c r="A337" s="17" t="n">
        <v>335</v>
      </c>
      <c r="B337" s="17" t="inlineStr">
        <is>
          <t>KIPP12</t>
        </is>
      </c>
      <c r="C337" s="2" t="inlineStr">
        <is>
          <t>12MBH60CP001</t>
        </is>
      </c>
      <c r="D337" s="14" t="inlineStr">
        <is>
          <t>DP CMAS FAN 1</t>
        </is>
      </c>
      <c r="E337" s="37" t="n"/>
      <c r="F337" s="103" t="n">
        <v>-621.6</v>
      </c>
      <c r="G337" s="103" t="n">
        <v>621.6</v>
      </c>
      <c r="H337" s="103" t="n">
        <v>0</v>
      </c>
      <c r="I337" s="103" t="n">
        <v>50</v>
      </c>
      <c r="J337" s="4" t="inlineStr">
        <is>
          <t>mBar</t>
        </is>
      </c>
      <c r="K337" s="19" t="inlineStr">
        <is>
          <t>ROSEMOUNT</t>
        </is>
      </c>
      <c r="L337" s="19" t="inlineStr">
        <is>
          <t>3051 PT</t>
        </is>
      </c>
      <c r="M337" s="19" t="n">
        <v>9891373</v>
      </c>
      <c r="N337" s="2">
        <f>IF(E337="","Waiting","Calibrated")</f>
        <v/>
      </c>
      <c r="O337" s="2" t="n"/>
      <c r="P337" s="2" t="n"/>
      <c r="Q337" s="2" t="n"/>
      <c r="R337" s="28" t="n"/>
      <c r="S337" s="28" t="n"/>
      <c r="T337" s="32" t="n"/>
    </row>
    <row r="338" ht="30" customFormat="1" customHeight="1" s="5">
      <c r="A338" s="17" t="n">
        <v>336</v>
      </c>
      <c r="B338" s="17" t="inlineStr">
        <is>
          <t>KIPP12</t>
        </is>
      </c>
      <c r="C338" s="2" t="inlineStr">
        <is>
          <t>12MBH60CP002</t>
        </is>
      </c>
      <c r="D338" s="14" t="inlineStr">
        <is>
          <t>DP CMAS FAN 2</t>
        </is>
      </c>
      <c r="E338" s="37" t="n"/>
      <c r="F338" s="103" t="n">
        <v>-621.6</v>
      </c>
      <c r="G338" s="103" t="n">
        <v>621.6</v>
      </c>
      <c r="H338" s="103" t="n">
        <v>0</v>
      </c>
      <c r="I338" s="103" t="n">
        <v>50</v>
      </c>
      <c r="J338" s="4" t="inlineStr">
        <is>
          <t>mBar</t>
        </is>
      </c>
      <c r="K338" s="19" t="inlineStr">
        <is>
          <t>ROSEMOUNT</t>
        </is>
      </c>
      <c r="L338" s="19" t="inlineStr">
        <is>
          <t>3051 PT</t>
        </is>
      </c>
      <c r="M338" s="20" t="n">
        <v>9891374</v>
      </c>
      <c r="N338" s="2">
        <f>IF(E338="","Waiting","Calibrated")</f>
        <v/>
      </c>
      <c r="O338" s="2" t="n"/>
      <c r="P338" s="2" t="n"/>
      <c r="Q338" s="2" t="n"/>
      <c r="R338" s="28" t="n"/>
      <c r="S338" s="28" t="n"/>
      <c r="T338" s="32" t="n"/>
    </row>
    <row r="339" ht="30" customFormat="1" customHeight="1" s="5">
      <c r="A339" s="17" t="n">
        <v>337</v>
      </c>
      <c r="B339" s="17" t="inlineStr">
        <is>
          <t>KIPP12</t>
        </is>
      </c>
      <c r="C339" s="2" t="inlineStr">
        <is>
          <t>12MBH80CP011</t>
        </is>
      </c>
      <c r="D339" s="14" t="inlineStr">
        <is>
          <t>DIFFERENTIAL PRESSURE EV COMBUSTOR</t>
        </is>
      </c>
      <c r="E339" s="37" t="n"/>
      <c r="F339" s="103" t="n">
        <v>-2.4864</v>
      </c>
      <c r="G339" s="103" t="n">
        <v>2.4864</v>
      </c>
      <c r="H339" s="103" t="n">
        <v>0</v>
      </c>
      <c r="I339" s="103" t="n">
        <v>2.5</v>
      </c>
      <c r="J339" s="4" t="inlineStr">
        <is>
          <t>Bar</t>
        </is>
      </c>
      <c r="K339" s="19" t="inlineStr">
        <is>
          <t>ROSEMOUNT</t>
        </is>
      </c>
      <c r="L339" s="19" t="inlineStr">
        <is>
          <t>3051 PT</t>
        </is>
      </c>
      <c r="M339" s="19" t="n">
        <v>9825282</v>
      </c>
      <c r="N339" s="2">
        <f>IF(E339="","Waiting","Calibrated")</f>
        <v/>
      </c>
      <c r="O339" s="2" t="n"/>
      <c r="P339" s="2" t="n"/>
      <c r="Q339" s="2" t="n"/>
      <c r="R339" s="28" t="n"/>
      <c r="S339" s="28" t="n"/>
      <c r="T339" s="32" t="n"/>
    </row>
    <row r="340" ht="30" customFormat="1" customHeight="1" s="5">
      <c r="A340" s="17" t="n">
        <v>338</v>
      </c>
      <c r="B340" s="17" t="inlineStr">
        <is>
          <t>KIPP12</t>
        </is>
      </c>
      <c r="C340" s="2" t="inlineStr">
        <is>
          <t>12MBH80CP012</t>
        </is>
      </c>
      <c r="D340" s="14" t="inlineStr">
        <is>
          <t>DIFFERENTIAL PRESSURE EV COMBUSTOR</t>
        </is>
      </c>
      <c r="E340" s="37" t="n"/>
      <c r="F340" s="103" t="n">
        <v>-2.4864</v>
      </c>
      <c r="G340" s="103" t="n">
        <v>2.4864</v>
      </c>
      <c r="H340" s="103" t="n">
        <v>0</v>
      </c>
      <c r="I340" s="103" t="n">
        <v>2.5</v>
      </c>
      <c r="J340" s="4" t="inlineStr">
        <is>
          <t>Bar</t>
        </is>
      </c>
      <c r="K340" s="19" t="inlineStr">
        <is>
          <t>ROSEMOUNT</t>
        </is>
      </c>
      <c r="L340" s="19" t="inlineStr">
        <is>
          <t>3051 PT</t>
        </is>
      </c>
      <c r="M340" s="19" t="n">
        <v>9825283</v>
      </c>
      <c r="N340" s="2">
        <f>IF(E340="","Waiting","Calibrated")</f>
        <v/>
      </c>
      <c r="O340" s="2" t="n"/>
      <c r="P340" s="2" t="n"/>
      <c r="Q340" s="2" t="n"/>
      <c r="R340" s="28" t="n"/>
      <c r="S340" s="28" t="n"/>
      <c r="T340" s="32" t="n"/>
    </row>
    <row r="341" ht="30" customFormat="1" customHeight="1" s="5">
      <c r="A341" s="17" t="n">
        <v>339</v>
      </c>
      <c r="B341" s="17" t="inlineStr">
        <is>
          <t>KIPP12</t>
        </is>
      </c>
      <c r="C341" s="2" t="inlineStr">
        <is>
          <t>12MBH90CP001</t>
        </is>
      </c>
      <c r="D341" s="14" t="inlineStr">
        <is>
          <t>PRESSURE BEFORE ANTI-ICING CONTROL VALVE</t>
        </is>
      </c>
      <c r="E341" s="37" t="n"/>
      <c r="F341" s="103" t="n">
        <v>-137.89</v>
      </c>
      <c r="G341" s="103" t="n">
        <v>137.89</v>
      </c>
      <c r="H341" s="103" t="n">
        <v>0</v>
      </c>
      <c r="I341" s="103" t="n">
        <v>40</v>
      </c>
      <c r="J341" s="4" t="inlineStr">
        <is>
          <t>Bar</t>
        </is>
      </c>
      <c r="K341" s="19" t="inlineStr">
        <is>
          <t>ROSEMOUNT</t>
        </is>
      </c>
      <c r="L341" s="19" t="inlineStr">
        <is>
          <t>3051 PT</t>
        </is>
      </c>
      <c r="M341" s="19" t="n">
        <v>9914215</v>
      </c>
      <c r="N341" s="2">
        <f>IF(E341="","Waiting","Calibrated")</f>
        <v/>
      </c>
      <c r="O341" s="2" t="n"/>
      <c r="P341" s="2" t="n"/>
      <c r="Q341" s="2" t="n"/>
      <c r="R341" s="28" t="n"/>
      <c r="S341" s="28" t="n"/>
      <c r="T341" s="32" t="n"/>
    </row>
    <row r="342" ht="30" customFormat="1" customHeight="1" s="5">
      <c r="A342" s="17" t="n">
        <v>340</v>
      </c>
      <c r="B342" s="17" t="inlineStr">
        <is>
          <t>KIPP12</t>
        </is>
      </c>
      <c r="C342" s="2" t="inlineStr">
        <is>
          <t>12MBH90CP004</t>
        </is>
      </c>
      <c r="D342" s="14" t="inlineStr">
        <is>
          <t>DP OVER ANTI ICING CV</t>
        </is>
      </c>
      <c r="E342" s="37" t="n"/>
      <c r="F342" s="103" t="n">
        <v>-137.89</v>
      </c>
      <c r="G342" s="103" t="n">
        <v>137.89</v>
      </c>
      <c r="H342" s="103" t="n">
        <v>0</v>
      </c>
      <c r="I342" s="103" t="n">
        <v>40</v>
      </c>
      <c r="J342" s="4" t="inlineStr">
        <is>
          <t>Bar</t>
        </is>
      </c>
      <c r="K342" s="19" t="inlineStr">
        <is>
          <t>ROSEMOUNT</t>
        </is>
      </c>
      <c r="L342" s="19" t="inlineStr">
        <is>
          <t>3051 PT</t>
        </is>
      </c>
      <c r="M342" s="19" t="n">
        <v>9914217</v>
      </c>
      <c r="N342" s="2">
        <f>IF(E342="","Waiting","Calibrated")</f>
        <v/>
      </c>
      <c r="O342" s="2" t="n"/>
      <c r="P342" s="2" t="n"/>
      <c r="Q342" s="2" t="n"/>
      <c r="R342" s="28" t="n"/>
      <c r="S342" s="28" t="n"/>
      <c r="T342" s="32" t="n"/>
    </row>
    <row r="343" ht="30" customFormat="1" customHeight="1" s="5">
      <c r="A343" s="17" t="n">
        <v>341</v>
      </c>
      <c r="B343" s="17" t="inlineStr">
        <is>
          <t>KIPP12</t>
        </is>
      </c>
      <c r="C343" s="2" t="inlineStr">
        <is>
          <t>12MBL01CP011</t>
        </is>
      </c>
      <c r="D343" s="14" t="inlineStr">
        <is>
          <t>DP AIR INTK FLTR TOT</t>
        </is>
      </c>
      <c r="E343" s="37" t="n"/>
      <c r="F343" s="103" t="n">
        <v>-621.6</v>
      </c>
      <c r="G343" s="103" t="n">
        <v>621.6</v>
      </c>
      <c r="H343" s="103" t="n">
        <v>0</v>
      </c>
      <c r="I343" s="103" t="n">
        <v>3000</v>
      </c>
      <c r="J343" s="4" t="inlineStr">
        <is>
          <t>Pa</t>
        </is>
      </c>
      <c r="K343" s="19" t="inlineStr">
        <is>
          <t>ROSEMOUNT</t>
        </is>
      </c>
      <c r="L343" s="19" t="inlineStr">
        <is>
          <t>3051 PT</t>
        </is>
      </c>
      <c r="M343" s="19" t="n">
        <v>98426871</v>
      </c>
      <c r="N343" s="2">
        <f>IF(E343="","Waiting","Calibrated")</f>
        <v/>
      </c>
      <c r="O343" s="2" t="n"/>
      <c r="P343" s="2" t="n"/>
      <c r="Q343" s="2" t="n"/>
      <c r="R343" s="28" t="n"/>
      <c r="S343" s="28" t="n"/>
      <c r="T343" s="32" t="n"/>
    </row>
    <row r="344" ht="30" customFormat="1" customHeight="1" s="5">
      <c r="A344" s="17" t="n">
        <v>342</v>
      </c>
      <c r="B344" s="17" t="inlineStr">
        <is>
          <t>KIPP12</t>
        </is>
      </c>
      <c r="C344" s="2" t="inlineStr">
        <is>
          <t>12MBL01CP012</t>
        </is>
      </c>
      <c r="D344" s="14" t="inlineStr">
        <is>
          <t>DP AIR INTK FLTR TOT</t>
        </is>
      </c>
      <c r="E344" s="37" t="n"/>
      <c r="F344" s="103" t="n">
        <v>-621.6</v>
      </c>
      <c r="G344" s="103" t="n">
        <v>621.6</v>
      </c>
      <c r="H344" s="103" t="n">
        <v>0</v>
      </c>
      <c r="I344" s="103" t="n">
        <v>3000</v>
      </c>
      <c r="J344" s="4" t="inlineStr">
        <is>
          <t>Pa</t>
        </is>
      </c>
      <c r="K344" s="19" t="inlineStr">
        <is>
          <t>ROSEMOUNT</t>
        </is>
      </c>
      <c r="L344" s="19" t="inlineStr">
        <is>
          <t>3051 PT</t>
        </is>
      </c>
      <c r="M344" s="19" t="n">
        <v>9844814</v>
      </c>
      <c r="N344" s="2">
        <f>IF(E344="","Waiting","Calibrated")</f>
        <v/>
      </c>
      <c r="O344" s="2" t="n"/>
      <c r="P344" s="2" t="n"/>
      <c r="Q344" s="2" t="n"/>
      <c r="R344" s="28" t="n"/>
      <c r="S344" s="28" t="n"/>
      <c r="T344" s="32" t="n"/>
    </row>
    <row r="345" ht="30" customFormat="1" customHeight="1" s="5">
      <c r="A345" s="17" t="n">
        <v>343</v>
      </c>
      <c r="B345" s="17" t="inlineStr">
        <is>
          <t>KIPP12</t>
        </is>
      </c>
      <c r="C345" s="2" t="inlineStr">
        <is>
          <t>12MBL51CP001</t>
        </is>
      </c>
      <c r="D345" s="14" t="inlineStr">
        <is>
          <t>DP PRE FLTR STAGE</t>
        </is>
      </c>
      <c r="E345" s="37" t="n"/>
      <c r="F345" s="103" t="n">
        <v>-621.6</v>
      </c>
      <c r="G345" s="103" t="n">
        <v>621.6</v>
      </c>
      <c r="H345" s="103" t="n">
        <v>0</v>
      </c>
      <c r="I345" s="103" t="n">
        <v>2500</v>
      </c>
      <c r="J345" s="4" t="inlineStr">
        <is>
          <t>Pa</t>
        </is>
      </c>
      <c r="K345" s="19" t="inlineStr">
        <is>
          <t>ROSEMOUNT</t>
        </is>
      </c>
      <c r="L345" s="19" t="inlineStr">
        <is>
          <t>3051 PT</t>
        </is>
      </c>
      <c r="M345" s="19" t="n">
        <v>9844808</v>
      </c>
      <c r="N345" s="2">
        <f>IF(E345="","Waiting","Calibrated")</f>
        <v/>
      </c>
      <c r="O345" s="2" t="n"/>
      <c r="P345" s="2" t="n"/>
      <c r="Q345" s="2" t="n"/>
      <c r="R345" s="28" t="n"/>
      <c r="S345" s="28" t="n"/>
      <c r="T345" s="32" t="n"/>
    </row>
    <row r="346" ht="30" customFormat="1" customHeight="1" s="5">
      <c r="A346" s="17" t="n">
        <v>344</v>
      </c>
      <c r="B346" s="17" t="inlineStr">
        <is>
          <t>KIPP12</t>
        </is>
      </c>
      <c r="C346" s="2" t="inlineStr">
        <is>
          <t>12MBL51CP002</t>
        </is>
      </c>
      <c r="D346" s="14" t="inlineStr">
        <is>
          <t>DP FINE FLTR STAGE</t>
        </is>
      </c>
      <c r="E346" s="37" t="n"/>
      <c r="F346" s="103" t="n">
        <v>-621.6</v>
      </c>
      <c r="G346" s="103" t="n">
        <v>621.6</v>
      </c>
      <c r="H346" s="103" t="n">
        <v>0</v>
      </c>
      <c r="I346" s="103" t="n">
        <v>2500</v>
      </c>
      <c r="J346" s="4" t="inlineStr">
        <is>
          <t>Pa</t>
        </is>
      </c>
      <c r="K346" s="19" t="inlineStr">
        <is>
          <t>ROSEMOUNT</t>
        </is>
      </c>
      <c r="L346" s="19" t="inlineStr">
        <is>
          <t>3051 PT</t>
        </is>
      </c>
      <c r="M346" s="19" t="n">
        <v>9844809</v>
      </c>
      <c r="N346" s="2">
        <f>IF(E346="","Waiting","Calibrated")</f>
        <v/>
      </c>
      <c r="O346" s="2" t="n"/>
      <c r="P346" s="2" t="n"/>
      <c r="Q346" s="2" t="n"/>
      <c r="R346" s="28" t="n"/>
      <c r="S346" s="28" t="n"/>
      <c r="T346" s="32" t="n"/>
    </row>
    <row r="347" ht="30" customFormat="1" customHeight="1" s="5">
      <c r="A347" s="17" t="n">
        <v>345</v>
      </c>
      <c r="B347" s="17" t="inlineStr">
        <is>
          <t>KIPP12</t>
        </is>
      </c>
      <c r="C347" s="2" t="inlineStr">
        <is>
          <t>12MBL51CP012</t>
        </is>
      </c>
      <c r="D347" s="14" t="inlineStr">
        <is>
          <t>DP FINE FLTR STAGE</t>
        </is>
      </c>
      <c r="E347" s="37" t="n"/>
      <c r="F347" s="103" t="n">
        <v>-621.6</v>
      </c>
      <c r="G347" s="103" t="n">
        <v>621.6</v>
      </c>
      <c r="H347" s="103" t="n">
        <v>0</v>
      </c>
      <c r="I347" s="103" t="n">
        <v>2500</v>
      </c>
      <c r="J347" s="4" t="inlineStr">
        <is>
          <t>Pa</t>
        </is>
      </c>
      <c r="K347" s="19" t="inlineStr">
        <is>
          <t>ROSEMOUNT</t>
        </is>
      </c>
      <c r="L347" s="19" t="inlineStr">
        <is>
          <t>3051 PT</t>
        </is>
      </c>
      <c r="M347" s="19" t="n">
        <v>9844810</v>
      </c>
      <c r="N347" s="2">
        <f>IF(E347="","Waiting","Calibrated")</f>
        <v/>
      </c>
      <c r="O347" s="2" t="n"/>
      <c r="P347" s="2" t="n"/>
      <c r="Q347" s="2" t="n"/>
      <c r="R347" s="28" t="n"/>
      <c r="S347" s="28" t="n"/>
      <c r="T347" s="32" t="n"/>
    </row>
    <row r="348" ht="30" customFormat="1" customHeight="1" s="5">
      <c r="A348" s="17" t="n">
        <v>346</v>
      </c>
      <c r="B348" s="17" t="inlineStr">
        <is>
          <t>KIPP12</t>
        </is>
      </c>
      <c r="C348" s="2" t="inlineStr">
        <is>
          <t>12MBL61CP010</t>
        </is>
      </c>
      <c r="D348" s="14" t="inlineStr">
        <is>
          <t>EVAP COOLER PUMP AFTER PRESSURE</t>
        </is>
      </c>
      <c r="E348" s="37" t="n"/>
      <c r="F348" s="103" t="n">
        <v>-621.6</v>
      </c>
      <c r="G348" s="103" t="n">
        <v>621.6</v>
      </c>
      <c r="H348" s="103" t="n">
        <v>0</v>
      </c>
      <c r="I348" s="103" t="n">
        <v>2500</v>
      </c>
      <c r="J348" s="4" t="inlineStr">
        <is>
          <t>Pa</t>
        </is>
      </c>
      <c r="K348" s="19" t="inlineStr">
        <is>
          <t>ROSEMOUNT</t>
        </is>
      </c>
      <c r="L348" s="19" t="inlineStr">
        <is>
          <t>3051 PT</t>
        </is>
      </c>
      <c r="M348" s="19" t="n">
        <v>9852955</v>
      </c>
      <c r="N348" s="2">
        <f>IF(E348="","Waiting","Calibrated")</f>
        <v/>
      </c>
      <c r="O348" s="2" t="n"/>
      <c r="P348" s="2" t="n"/>
      <c r="Q348" s="2" t="n"/>
      <c r="R348" s="28" t="n"/>
      <c r="S348" s="28" t="n"/>
      <c r="T348" s="32" t="n"/>
    </row>
    <row r="349" ht="30" customFormat="1" customHeight="1" s="5">
      <c r="A349" s="17" t="n">
        <v>347</v>
      </c>
      <c r="B349" s="17" t="inlineStr">
        <is>
          <t>KIPP12</t>
        </is>
      </c>
      <c r="C349" s="2" t="inlineStr">
        <is>
          <t>12MBP01CP003</t>
        </is>
      </c>
      <c r="D349" s="14" t="inlineStr">
        <is>
          <t>FUEL GAS FILTER DP</t>
        </is>
      </c>
      <c r="E349" s="37" t="n"/>
      <c r="F349" s="103" t="n">
        <v>-2.4864</v>
      </c>
      <c r="G349" s="103" t="n">
        <v>2.4864</v>
      </c>
      <c r="H349" s="103" t="n">
        <v>0</v>
      </c>
      <c r="I349" s="103" t="n">
        <v>1.5</v>
      </c>
      <c r="J349" s="4" t="inlineStr">
        <is>
          <t>Bar</t>
        </is>
      </c>
      <c r="K349" s="19" t="inlineStr">
        <is>
          <t>ROSEMOUNT</t>
        </is>
      </c>
      <c r="L349" s="19" t="inlineStr">
        <is>
          <t>3051 PT</t>
        </is>
      </c>
      <c r="M349" s="19" t="n">
        <v>9789263</v>
      </c>
      <c r="N349" s="2">
        <f>IF(E349="","Waiting","Calibrated")</f>
        <v/>
      </c>
      <c r="O349" s="2" t="n"/>
      <c r="P349" s="2" t="n"/>
      <c r="Q349" s="2" t="n"/>
      <c r="R349" s="28" t="n"/>
      <c r="S349" s="28" t="n"/>
      <c r="T349" s="32" t="n"/>
    </row>
    <row r="350" ht="30" customFormat="1" customHeight="1" s="5">
      <c r="A350" s="17" t="n">
        <v>348</v>
      </c>
      <c r="B350" s="17" t="inlineStr">
        <is>
          <t>KIPP12</t>
        </is>
      </c>
      <c r="C350" s="2" t="inlineStr">
        <is>
          <t>12MBP05CP102</t>
        </is>
      </c>
      <c r="D350" s="14" t="inlineStr">
        <is>
          <t>EV FUEL GAS FLOW PT</t>
        </is>
      </c>
      <c r="E350" s="37" t="n"/>
      <c r="F350" s="103" t="n">
        <v>0</v>
      </c>
      <c r="G350" s="103" t="n">
        <v>55.16</v>
      </c>
      <c r="H350" s="103" t="n">
        <v>0</v>
      </c>
      <c r="I350" s="103" t="n">
        <v>55</v>
      </c>
      <c r="J350" s="4" t="inlineStr">
        <is>
          <t>Bar</t>
        </is>
      </c>
      <c r="K350" s="19" t="inlineStr">
        <is>
          <t>ROSEMOUNT</t>
        </is>
      </c>
      <c r="L350" s="19" t="inlineStr">
        <is>
          <t>3051 PT</t>
        </is>
      </c>
      <c r="M350" s="19" t="n">
        <v>9846442</v>
      </c>
      <c r="N350" s="2">
        <f>IF(E350="","Waiting","Calibrated")</f>
        <v/>
      </c>
      <c r="O350" s="2" t="n"/>
      <c r="P350" s="2" t="n"/>
      <c r="Q350" s="2" t="n"/>
      <c r="R350" s="28" t="n"/>
      <c r="S350" s="28" t="n"/>
      <c r="T350" s="32" t="inlineStr">
        <is>
          <t>Atm. Basıncı 0,935 Bar</t>
        </is>
      </c>
    </row>
    <row r="351" ht="30" customFormat="1" customHeight="1" s="5">
      <c r="A351" s="17" t="n">
        <v>349</v>
      </c>
      <c r="B351" s="17" t="inlineStr">
        <is>
          <t>KIPP12</t>
        </is>
      </c>
      <c r="C351" s="2" t="inlineStr">
        <is>
          <t>12MBP41CP001</t>
        </is>
      </c>
      <c r="D351" s="14" t="inlineStr">
        <is>
          <t>P AFT TRIP SOV EV</t>
        </is>
      </c>
      <c r="E351" s="37" t="n"/>
      <c r="F351" s="103" t="n">
        <v>-137.89</v>
      </c>
      <c r="G351" s="103" t="n">
        <v>137.89</v>
      </c>
      <c r="H351" s="103" t="n">
        <v>0</v>
      </c>
      <c r="I351" s="103" t="n">
        <v>70</v>
      </c>
      <c r="J351" s="4" t="inlineStr">
        <is>
          <t>Bar</t>
        </is>
      </c>
      <c r="K351" s="19" t="inlineStr">
        <is>
          <t>ROSEMOUNT</t>
        </is>
      </c>
      <c r="L351" s="19" t="inlineStr">
        <is>
          <t>3051 PT</t>
        </is>
      </c>
      <c r="M351" s="19" t="n">
        <v>9782037</v>
      </c>
      <c r="N351" s="2">
        <f>IF(E351="","Waiting","Calibrated")</f>
        <v/>
      </c>
      <c r="O351" s="2" t="n"/>
      <c r="P351" s="2" t="n"/>
      <c r="Q351" s="2" t="n"/>
      <c r="R351" s="28" t="n"/>
      <c r="S351" s="28" t="n"/>
      <c r="T351" s="32" t="n"/>
    </row>
    <row r="352" ht="30" customFormat="1" customHeight="1" s="5">
      <c r="A352" s="17" t="n">
        <v>350</v>
      </c>
      <c r="B352" s="17" t="inlineStr">
        <is>
          <t>KIPP12</t>
        </is>
      </c>
      <c r="C352" s="2" t="inlineStr">
        <is>
          <t>12MBP41CP004</t>
        </is>
      </c>
      <c r="D352" s="14" t="inlineStr">
        <is>
          <t>DP CV EV STG2</t>
        </is>
      </c>
      <c r="E352" s="37" t="n"/>
      <c r="F352" s="103" t="n">
        <v>-137.89</v>
      </c>
      <c r="G352" s="103" t="n">
        <v>137.89</v>
      </c>
      <c r="H352" s="103" t="n">
        <v>0</v>
      </c>
      <c r="I352" s="103" t="n">
        <v>70</v>
      </c>
      <c r="J352" s="4" t="inlineStr">
        <is>
          <t>Bar</t>
        </is>
      </c>
      <c r="K352" s="19" t="inlineStr">
        <is>
          <t>ROSEMOUNT</t>
        </is>
      </c>
      <c r="L352" s="19" t="inlineStr">
        <is>
          <t>3051 PT</t>
        </is>
      </c>
      <c r="M352" s="19" t="n">
        <v>9782043</v>
      </c>
      <c r="N352" s="2">
        <f>IF(E352="","Waiting","Calibrated")</f>
        <v/>
      </c>
      <c r="O352" s="2" t="n"/>
      <c r="P352" s="2" t="n"/>
      <c r="Q352" s="2" t="n"/>
      <c r="R352" s="28" t="n"/>
      <c r="S352" s="28" t="n"/>
      <c r="T352" s="32" t="n"/>
    </row>
    <row r="353" ht="30" customFormat="1" customHeight="1" s="5">
      <c r="A353" s="17" t="n">
        <v>351</v>
      </c>
      <c r="B353" s="17" t="inlineStr">
        <is>
          <t>KIPP12</t>
        </is>
      </c>
      <c r="C353" s="2" t="inlineStr">
        <is>
          <t>12MBP41CP006</t>
        </is>
      </c>
      <c r="D353" s="14" t="inlineStr">
        <is>
          <t>P AFT CV FGAS EV</t>
        </is>
      </c>
      <c r="E353" s="37" t="n"/>
      <c r="F353" s="103" t="n">
        <v>-137.89</v>
      </c>
      <c r="G353" s="103" t="n">
        <v>137.89</v>
      </c>
      <c r="H353" s="103" t="n">
        <v>0</v>
      </c>
      <c r="I353" s="103" t="n">
        <v>70</v>
      </c>
      <c r="J353" s="4" t="inlineStr">
        <is>
          <t>Bar</t>
        </is>
      </c>
      <c r="K353" s="19" t="inlineStr">
        <is>
          <t>ROSEMOUNT</t>
        </is>
      </c>
      <c r="L353" s="19" t="inlineStr">
        <is>
          <t>3051 PT</t>
        </is>
      </c>
      <c r="M353" s="19" t="n">
        <v>9782038</v>
      </c>
      <c r="N353" s="2">
        <f>IF(E353="","Waiting","Calibrated")</f>
        <v/>
      </c>
      <c r="O353" s="2" t="n"/>
      <c r="P353" s="2" t="n"/>
      <c r="Q353" s="2" t="n"/>
      <c r="R353" s="28" t="n"/>
      <c r="S353" s="28" t="n"/>
      <c r="T353" s="32" t="n"/>
    </row>
    <row r="354" ht="30" customFormat="1" customHeight="1" s="5">
      <c r="A354" s="17" t="n">
        <v>352</v>
      </c>
      <c r="B354" s="17" t="inlineStr">
        <is>
          <t>KIPP12</t>
        </is>
      </c>
      <c r="C354" s="2" t="inlineStr">
        <is>
          <t>12MBP42CP001</t>
        </is>
      </c>
      <c r="D354" s="14" t="inlineStr">
        <is>
          <t>P BEF FGAS TRIP SOV SEV</t>
        </is>
      </c>
      <c r="E354" s="37" t="n"/>
      <c r="F354" s="103" t="n">
        <v>-137.89</v>
      </c>
      <c r="G354" s="103" t="n">
        <v>137.89</v>
      </c>
      <c r="H354" s="103" t="n">
        <v>0</v>
      </c>
      <c r="I354" s="103" t="n">
        <v>70</v>
      </c>
      <c r="J354" s="4" t="inlineStr">
        <is>
          <t>Bar</t>
        </is>
      </c>
      <c r="K354" s="19" t="inlineStr">
        <is>
          <t>ROSEMOUNT</t>
        </is>
      </c>
      <c r="L354" s="19" t="inlineStr">
        <is>
          <t>3051 PT</t>
        </is>
      </c>
      <c r="M354" s="19" t="n">
        <v>9782039</v>
      </c>
      <c r="N354" s="2">
        <f>IF(E354="","Waiting","Calibrated")</f>
        <v/>
      </c>
      <c r="O354" s="2" t="n"/>
      <c r="P354" s="2" t="n"/>
      <c r="Q354" s="2" t="n"/>
      <c r="R354" s="28" t="n"/>
      <c r="S354" s="28" t="n"/>
      <c r="T354" s="32" t="n"/>
    </row>
    <row r="355" ht="30" customFormat="1" customHeight="1" s="5">
      <c r="A355" s="17" t="n">
        <v>353</v>
      </c>
      <c r="B355" s="17" t="inlineStr">
        <is>
          <t>KIPP12</t>
        </is>
      </c>
      <c r="C355" s="2" t="inlineStr">
        <is>
          <t>12MBP42CP004</t>
        </is>
      </c>
      <c r="D355" s="14" t="inlineStr">
        <is>
          <t>DP CV FGAS SEV</t>
        </is>
      </c>
      <c r="E355" s="37" t="n"/>
      <c r="F355" s="103" t="n">
        <v>-137.89</v>
      </c>
      <c r="G355" s="103" t="n">
        <v>137.89</v>
      </c>
      <c r="H355" s="103" t="n">
        <v>0</v>
      </c>
      <c r="I355" s="103" t="n">
        <v>70</v>
      </c>
      <c r="J355" s="4" t="inlineStr">
        <is>
          <t>Bar</t>
        </is>
      </c>
      <c r="K355" s="19" t="inlineStr">
        <is>
          <t>ROSEMOUNT</t>
        </is>
      </c>
      <c r="L355" s="19" t="inlineStr">
        <is>
          <t>3051 PT</t>
        </is>
      </c>
      <c r="M355" s="19" t="n">
        <v>9782044</v>
      </c>
      <c r="N355" s="2">
        <f>IF(E355="","Waiting","Calibrated")</f>
        <v/>
      </c>
      <c r="O355" s="2" t="n"/>
      <c r="P355" s="2" t="n"/>
      <c r="Q355" s="2" t="n"/>
      <c r="R355" s="28" t="n"/>
      <c r="S355" s="28" t="n"/>
      <c r="T355" s="32" t="n"/>
    </row>
    <row r="356" ht="30" customFormat="1" customHeight="1" s="5">
      <c r="A356" s="17" t="n">
        <v>354</v>
      </c>
      <c r="B356" s="17" t="inlineStr">
        <is>
          <t>KIPP12</t>
        </is>
      </c>
      <c r="C356" s="2" t="inlineStr">
        <is>
          <t>12MBP42CP006</t>
        </is>
      </c>
      <c r="D356" s="14" t="inlineStr">
        <is>
          <t>P AFT CV FGAS SEV</t>
        </is>
      </c>
      <c r="E356" s="37" t="n"/>
      <c r="F356" s="103" t="n">
        <v>-137.89</v>
      </c>
      <c r="G356" s="103" t="n">
        <v>137.89</v>
      </c>
      <c r="H356" s="103" t="n">
        <v>0</v>
      </c>
      <c r="I356" s="103" t="n">
        <v>70</v>
      </c>
      <c r="J356" s="4" t="inlineStr">
        <is>
          <t>Bar</t>
        </is>
      </c>
      <c r="K356" s="19" t="inlineStr">
        <is>
          <t>ROSEMOUNT</t>
        </is>
      </c>
      <c r="L356" s="19" t="inlineStr">
        <is>
          <t>3051 PT</t>
        </is>
      </c>
      <c r="M356" s="19" t="n">
        <v>9782040</v>
      </c>
      <c r="N356" s="2">
        <f>IF(E356="","Waiting","Calibrated")</f>
        <v/>
      </c>
      <c r="O356" s="2" t="n"/>
      <c r="P356" s="2" t="n"/>
      <c r="Q356" s="2" t="n"/>
      <c r="R356" s="28" t="n"/>
      <c r="S356" s="28" t="n"/>
      <c r="T356" s="32" t="n"/>
    </row>
    <row r="357" ht="30" customFormat="1" customHeight="1" s="5">
      <c r="A357" s="17" t="n">
        <v>355</v>
      </c>
      <c r="B357" s="17" t="inlineStr">
        <is>
          <t>KIPP12</t>
        </is>
      </c>
      <c r="C357" s="2" t="inlineStr">
        <is>
          <t>12MBP43CP001</t>
        </is>
      </c>
      <c r="D357" s="14" t="inlineStr">
        <is>
          <t>P BFR CV EV STG1 FGAS</t>
        </is>
      </c>
      <c r="E357" s="37" t="n"/>
      <c r="F357" s="103" t="n">
        <v>-137.89</v>
      </c>
      <c r="G357" s="103" t="n">
        <v>137.89</v>
      </c>
      <c r="H357" s="103" t="n">
        <v>0</v>
      </c>
      <c r="I357" s="103" t="n">
        <v>70</v>
      </c>
      <c r="J357" s="4" t="inlineStr">
        <is>
          <t>Bar</t>
        </is>
      </c>
      <c r="K357" s="19" t="inlineStr">
        <is>
          <t>ROSEMOUNT</t>
        </is>
      </c>
      <c r="L357" s="19" t="inlineStr">
        <is>
          <t>3051 PT</t>
        </is>
      </c>
      <c r="M357" s="19" t="n">
        <v>9782041</v>
      </c>
      <c r="N357" s="2">
        <f>IF(E357="","Waiting","Calibrated")</f>
        <v/>
      </c>
      <c r="O357" s="2" t="n"/>
      <c r="P357" s="2" t="n"/>
      <c r="Q357" s="2" t="n"/>
      <c r="R357" s="28" t="n"/>
      <c r="S357" s="28" t="n"/>
      <c r="T357" s="32" t="n"/>
    </row>
    <row r="358" ht="30" customFormat="1" customHeight="1" s="5">
      <c r="A358" s="17" t="n">
        <v>356</v>
      </c>
      <c r="B358" s="17" t="inlineStr">
        <is>
          <t>KIPP12</t>
        </is>
      </c>
      <c r="C358" s="2" t="inlineStr">
        <is>
          <t>12MBP43CP004</t>
        </is>
      </c>
      <c r="D358" s="14" t="inlineStr">
        <is>
          <t>DP CV EVSTG1 FGAS</t>
        </is>
      </c>
      <c r="E358" s="37" t="n"/>
      <c r="F358" s="103" t="n">
        <v>-137.89</v>
      </c>
      <c r="G358" s="103" t="n">
        <v>137.89</v>
      </c>
      <c r="H358" s="103" t="n">
        <v>0</v>
      </c>
      <c r="I358" s="103" t="n">
        <v>70</v>
      </c>
      <c r="J358" s="4" t="inlineStr">
        <is>
          <t>Bar</t>
        </is>
      </c>
      <c r="K358" s="19" t="inlineStr">
        <is>
          <t>ROSEMOUNT</t>
        </is>
      </c>
      <c r="L358" s="19" t="inlineStr">
        <is>
          <t>3051 PT</t>
        </is>
      </c>
      <c r="M358" s="19" t="n">
        <v>9782045</v>
      </c>
      <c r="N358" s="2">
        <f>IF(E358="","Waiting","Calibrated")</f>
        <v/>
      </c>
      <c r="O358" s="2" t="n"/>
      <c r="P358" s="2" t="n"/>
      <c r="Q358" s="2" t="n"/>
      <c r="R358" s="28" t="n"/>
      <c r="S358" s="28" t="n"/>
      <c r="T358" s="32" t="n"/>
    </row>
    <row r="359" ht="30" customFormat="1" customHeight="1" s="5">
      <c r="A359" s="17" t="n">
        <v>357</v>
      </c>
      <c r="B359" s="17" t="inlineStr">
        <is>
          <t>KIPP12</t>
        </is>
      </c>
      <c r="C359" s="2" t="inlineStr">
        <is>
          <t>12MBP43CP006</t>
        </is>
      </c>
      <c r="D359" s="14" t="inlineStr">
        <is>
          <t>P AFT CV EV STG1 FGAS</t>
        </is>
      </c>
      <c r="E359" s="37" t="n"/>
      <c r="F359" s="103" t="n">
        <v>-137.89</v>
      </c>
      <c r="G359" s="103" t="n">
        <v>137.89</v>
      </c>
      <c r="H359" s="103" t="n">
        <v>0</v>
      </c>
      <c r="I359" s="103" t="n">
        <v>70</v>
      </c>
      <c r="J359" s="4" t="inlineStr">
        <is>
          <t>Bar</t>
        </is>
      </c>
      <c r="K359" s="19" t="inlineStr">
        <is>
          <t>ROSEMOUNT</t>
        </is>
      </c>
      <c r="L359" s="19" t="inlineStr">
        <is>
          <t>3051 PT</t>
        </is>
      </c>
      <c r="M359" s="19" t="n">
        <v>9782042</v>
      </c>
      <c r="N359" s="2">
        <f>IF(E359="","Waiting","Calibrated")</f>
        <v/>
      </c>
      <c r="O359" s="2" t="n"/>
      <c r="P359" s="2" t="n"/>
      <c r="Q359" s="2" t="n"/>
      <c r="R359" s="28" t="n"/>
      <c r="S359" s="28" t="n"/>
      <c r="T359" s="32" t="n"/>
    </row>
    <row r="360" ht="30" customFormat="1" customHeight="1" s="5">
      <c r="A360" s="17" t="n">
        <v>358</v>
      </c>
      <c r="B360" s="17" t="inlineStr">
        <is>
          <t>KIPP12</t>
        </is>
      </c>
      <c r="C360" s="2" t="inlineStr">
        <is>
          <t>12MBV10CP001</t>
        </is>
      </c>
      <c r="D360" s="14" t="inlineStr">
        <is>
          <t>PRESSURE LUBE OIL TANK</t>
        </is>
      </c>
      <c r="E360" s="37" t="n"/>
      <c r="F360" s="103" t="n">
        <v>-62.16</v>
      </c>
      <c r="G360" s="103" t="n">
        <v>62.16</v>
      </c>
      <c r="H360" s="103" t="n">
        <v>0</v>
      </c>
      <c r="I360" s="103" t="n">
        <v>60</v>
      </c>
      <c r="J360" s="4" t="inlineStr">
        <is>
          <t>Bar</t>
        </is>
      </c>
      <c r="K360" s="19" t="inlineStr">
        <is>
          <t>ROSEMOUNT</t>
        </is>
      </c>
      <c r="L360" s="19" t="inlineStr">
        <is>
          <t>3051 PT</t>
        </is>
      </c>
      <c r="M360" s="19" t="n">
        <v>9782022</v>
      </c>
      <c r="N360" s="2">
        <f>IF(E360="","Waiting","Calibrated")</f>
        <v/>
      </c>
      <c r="O360" s="2" t="n"/>
      <c r="P360" s="2" t="n"/>
      <c r="Q360" s="2" t="n"/>
      <c r="R360" s="28" t="n"/>
      <c r="S360" s="28" t="n"/>
      <c r="T360" s="32" t="n"/>
    </row>
    <row r="361" ht="30" customFormat="1" customHeight="1" s="5">
      <c r="A361" s="17" t="n">
        <v>359</v>
      </c>
      <c r="B361" s="17" t="inlineStr">
        <is>
          <t>KIPP12</t>
        </is>
      </c>
      <c r="C361" s="2" t="inlineStr">
        <is>
          <t>12MBV21CP001</t>
        </is>
      </c>
      <c r="D361" s="14" t="inlineStr">
        <is>
          <t>P AFT LUBE OIL PMP 1</t>
        </is>
      </c>
      <c r="E361" s="37" t="n"/>
      <c r="F361" s="103" t="n">
        <v>-1.013</v>
      </c>
      <c r="G361" s="103" t="n">
        <v>10.342</v>
      </c>
      <c r="H361" s="103" t="n">
        <v>0</v>
      </c>
      <c r="I361" s="103" t="n">
        <v>10</v>
      </c>
      <c r="J361" s="4" t="inlineStr">
        <is>
          <t>Bar</t>
        </is>
      </c>
      <c r="K361" s="19" t="inlineStr">
        <is>
          <t>ROSEMOUNT</t>
        </is>
      </c>
      <c r="L361" s="19" t="inlineStr">
        <is>
          <t>2088 PT</t>
        </is>
      </c>
      <c r="M361" s="19" t="n">
        <v>9791825</v>
      </c>
      <c r="N361" s="2">
        <f>IF(E361="","Waiting","Calibrated")</f>
        <v/>
      </c>
      <c r="O361" s="2" t="n"/>
      <c r="P361" s="2" t="n"/>
      <c r="Q361" s="2" t="n"/>
      <c r="R361" s="28" t="n"/>
      <c r="S361" s="28" t="n"/>
      <c r="T361" s="32" t="n"/>
    </row>
    <row r="362" ht="30" customFormat="1" customHeight="1" s="5">
      <c r="A362" s="17" t="n">
        <v>360</v>
      </c>
      <c r="B362" s="17" t="inlineStr">
        <is>
          <t>KIPP12</t>
        </is>
      </c>
      <c r="C362" s="2" t="inlineStr">
        <is>
          <t>12MBV21CP002</t>
        </is>
      </c>
      <c r="D362" s="14" t="inlineStr">
        <is>
          <t>P AFT LUBE OIL PMP 2</t>
        </is>
      </c>
      <c r="E362" s="37" t="n"/>
      <c r="F362" s="103" t="n">
        <v>-1.013</v>
      </c>
      <c r="G362" s="103" t="n">
        <v>10.342</v>
      </c>
      <c r="H362" s="103" t="n">
        <v>0</v>
      </c>
      <c r="I362" s="103" t="n">
        <v>10</v>
      </c>
      <c r="J362" s="4" t="inlineStr">
        <is>
          <t>Bar</t>
        </is>
      </c>
      <c r="K362" s="19" t="inlineStr">
        <is>
          <t>ROSEMOUNT</t>
        </is>
      </c>
      <c r="L362" s="19" t="inlineStr">
        <is>
          <t>2088 PT</t>
        </is>
      </c>
      <c r="M362" s="19" t="n">
        <v>9791826</v>
      </c>
      <c r="N362" s="2">
        <f>IF(E362="","Waiting","Calibrated")</f>
        <v/>
      </c>
      <c r="O362" s="2" t="n"/>
      <c r="P362" s="2" t="n"/>
      <c r="Q362" s="2" t="n"/>
      <c r="R362" s="28" t="n"/>
      <c r="S362" s="28" t="n"/>
      <c r="T362" s="32" t="n"/>
    </row>
    <row r="363" ht="30" customFormat="1" customHeight="1" s="5">
      <c r="A363" s="17" t="n">
        <v>361</v>
      </c>
      <c r="B363" s="17" t="inlineStr">
        <is>
          <t>KIPP12</t>
        </is>
      </c>
      <c r="C363" s="2" t="inlineStr">
        <is>
          <t>12MBV21CP003</t>
        </is>
      </c>
      <c r="D363" s="14" t="inlineStr">
        <is>
          <t>LUBE OIL FILTER DP</t>
        </is>
      </c>
      <c r="E363" s="37" t="n"/>
      <c r="F363" s="103" t="n">
        <v>-2.4864</v>
      </c>
      <c r="G363" s="103" t="n">
        <v>2.4864</v>
      </c>
      <c r="H363" s="103" t="n">
        <v>-2.5</v>
      </c>
      <c r="I363" s="103" t="n">
        <v>2.5</v>
      </c>
      <c r="J363" s="4" t="inlineStr">
        <is>
          <t>Bar</t>
        </is>
      </c>
      <c r="K363" s="19" t="inlineStr">
        <is>
          <t>ROSEMOUNT</t>
        </is>
      </c>
      <c r="L363" s="19" t="inlineStr">
        <is>
          <t>3051 PT</t>
        </is>
      </c>
      <c r="M363" s="19" t="n">
        <v>9782023</v>
      </c>
      <c r="N363" s="2">
        <f>IF(E363="","Waiting","Calibrated")</f>
        <v/>
      </c>
      <c r="O363" s="2" t="n"/>
      <c r="P363" s="2" t="n"/>
      <c r="Q363" s="2" t="n"/>
      <c r="R363" s="28" t="n"/>
      <c r="S363" s="28" t="n"/>
      <c r="T363" s="32" t="n"/>
    </row>
    <row r="364" ht="30" customFormat="1" customHeight="1" s="5">
      <c r="A364" s="17" t="n">
        <v>362</v>
      </c>
      <c r="B364" s="17" t="inlineStr">
        <is>
          <t>KIPP12</t>
        </is>
      </c>
      <c r="C364" s="2" t="inlineStr">
        <is>
          <t>12MBV22CP001</t>
        </is>
      </c>
      <c r="D364" s="14" t="inlineStr">
        <is>
          <t>EMERGENCY LUBE OIL PUMP AFTER PRESSURE</t>
        </is>
      </c>
      <c r="E364" s="37" t="n"/>
      <c r="F364" s="103" t="n">
        <v>-10.342</v>
      </c>
      <c r="G364" s="103" t="n">
        <v>10.342</v>
      </c>
      <c r="H364" s="103" t="n">
        <v>0</v>
      </c>
      <c r="I364" s="103" t="n">
        <v>10</v>
      </c>
      <c r="J364" s="4" t="inlineStr">
        <is>
          <t>Bar</t>
        </is>
      </c>
      <c r="K364" s="19" t="inlineStr">
        <is>
          <t>ROSEMOUNT</t>
        </is>
      </c>
      <c r="L364" s="19" t="inlineStr">
        <is>
          <t>2088 PT</t>
        </is>
      </c>
      <c r="M364" s="19" t="n">
        <v>9791827</v>
      </c>
      <c r="N364" s="2">
        <f>IF(E364="","Waiting","Calibrated")</f>
        <v/>
      </c>
      <c r="O364" s="2" t="n"/>
      <c r="P364" s="2" t="n"/>
      <c r="Q364" s="2" t="n"/>
      <c r="R364" s="28" t="n"/>
      <c r="S364" s="28" t="n"/>
      <c r="T364" s="32" t="n"/>
    </row>
    <row r="365" ht="30" customFormat="1" customHeight="1" s="5">
      <c r="A365" s="17" t="n">
        <v>363</v>
      </c>
      <c r="B365" s="17" t="inlineStr">
        <is>
          <t>KIPP12</t>
        </is>
      </c>
      <c r="C365" s="2" t="inlineStr">
        <is>
          <t>12MBV40CP001</t>
        </is>
      </c>
      <c r="D365" s="14" t="inlineStr">
        <is>
          <t>LUBE OIL HEADER PRESSURE</t>
        </is>
      </c>
      <c r="E365" s="37" t="n"/>
      <c r="F365" s="103" t="n">
        <v>-10.342</v>
      </c>
      <c r="G365" s="103" t="n">
        <v>10.342</v>
      </c>
      <c r="H365" s="103" t="n">
        <v>0</v>
      </c>
      <c r="I365" s="103" t="n">
        <v>10</v>
      </c>
      <c r="J365" s="4" t="inlineStr">
        <is>
          <t>Bar</t>
        </is>
      </c>
      <c r="K365" s="19" t="inlineStr">
        <is>
          <t>ROSEMOUNT</t>
        </is>
      </c>
      <c r="L365" s="19" t="inlineStr">
        <is>
          <t>2088 PT</t>
        </is>
      </c>
      <c r="M365" s="19" t="n">
        <v>9791828</v>
      </c>
      <c r="N365" s="2">
        <f>IF(E365="","Waiting","Calibrated")</f>
        <v/>
      </c>
      <c r="O365" s="2" t="n"/>
      <c r="P365" s="2" t="n"/>
      <c r="Q365" s="2" t="n"/>
      <c r="R365" s="28" t="n"/>
      <c r="S365" s="28" t="n"/>
      <c r="T365" s="32" t="n"/>
    </row>
    <row r="366" ht="30" customFormat="1" customHeight="1" s="5">
      <c r="A366" s="17" t="n">
        <v>364</v>
      </c>
      <c r="B366" s="17" t="inlineStr">
        <is>
          <t>KIPP12</t>
        </is>
      </c>
      <c r="C366" s="2" t="inlineStr">
        <is>
          <t>12MBV40CP002</t>
        </is>
      </c>
      <c r="D366" s="14" t="inlineStr">
        <is>
          <t>LUBE OIL HEADER PRESSURE</t>
        </is>
      </c>
      <c r="E366" s="37" t="n"/>
      <c r="F366" s="103" t="n">
        <v>-10.342</v>
      </c>
      <c r="G366" s="103" t="n">
        <v>10.342</v>
      </c>
      <c r="H366" s="103" t="n">
        <v>0</v>
      </c>
      <c r="I366" s="103" t="n">
        <v>10</v>
      </c>
      <c r="J366" s="4" t="inlineStr">
        <is>
          <t>Bar</t>
        </is>
      </c>
      <c r="K366" s="19" t="inlineStr">
        <is>
          <t>ROSEMOUNT</t>
        </is>
      </c>
      <c r="L366" s="19" t="inlineStr">
        <is>
          <t>2088 PT</t>
        </is>
      </c>
      <c r="M366" s="19" t="n">
        <v>9791829</v>
      </c>
      <c r="N366" s="2">
        <f>IF(E366="","Waiting","Calibrated")</f>
        <v/>
      </c>
      <c r="O366" s="2" t="n"/>
      <c r="P366" s="2" t="n"/>
      <c r="Q366" s="2" t="n"/>
      <c r="R366" s="28" t="n"/>
      <c r="S366" s="28" t="n"/>
      <c r="T366" s="32" t="n"/>
    </row>
    <row r="367" ht="30" customFormat="1" customHeight="1" s="5">
      <c r="A367" s="17" t="n">
        <v>365</v>
      </c>
      <c r="B367" s="17" t="inlineStr">
        <is>
          <t>KIPP12</t>
        </is>
      </c>
      <c r="C367" s="2" t="inlineStr">
        <is>
          <t>12MBV40CP003</t>
        </is>
      </c>
      <c r="D367" s="14" t="inlineStr">
        <is>
          <t>LUBE OIL HEADER PRESSURE</t>
        </is>
      </c>
      <c r="E367" s="37" t="n"/>
      <c r="F367" s="103" t="n">
        <v>-10.342</v>
      </c>
      <c r="G367" s="103" t="n">
        <v>10.342</v>
      </c>
      <c r="H367" s="103" t="n">
        <v>0</v>
      </c>
      <c r="I367" s="103" t="n">
        <v>10</v>
      </c>
      <c r="J367" s="4" t="inlineStr">
        <is>
          <t>Bar</t>
        </is>
      </c>
      <c r="K367" s="19" t="inlineStr">
        <is>
          <t>ROSEMOUNT</t>
        </is>
      </c>
      <c r="L367" s="19" t="inlineStr">
        <is>
          <t>2088 PT</t>
        </is>
      </c>
      <c r="M367" s="19" t="n">
        <v>9791830</v>
      </c>
      <c r="N367" s="2">
        <f>IF(E367="","Waiting","Calibrated")</f>
        <v/>
      </c>
      <c r="O367" s="2" t="n"/>
      <c r="P367" s="2" t="n"/>
      <c r="Q367" s="2" t="n"/>
      <c r="R367" s="28" t="n"/>
      <c r="S367" s="28" t="n"/>
      <c r="T367" s="32" t="n"/>
    </row>
    <row r="368" ht="30" customFormat="1" customHeight="1" s="5">
      <c r="A368" s="17" t="n">
        <v>366</v>
      </c>
      <c r="B368" s="17" t="inlineStr">
        <is>
          <t>KIPP12</t>
        </is>
      </c>
      <c r="C368" s="2" t="inlineStr">
        <is>
          <t>12MBV40CP006</t>
        </is>
      </c>
      <c r="D368" s="14" t="inlineStr">
        <is>
          <t>P LUBE OIL HEADER 6 ( PRESSURE SWITCH )</t>
        </is>
      </c>
      <c r="E368" s="37" t="n"/>
      <c r="F368" s="103" t="n">
        <v>0</v>
      </c>
      <c r="G368" s="103" t="n">
        <v>10</v>
      </c>
      <c r="H368" s="103" t="n">
        <v>1.99</v>
      </c>
      <c r="I368" s="103" t="n">
        <v>2.2</v>
      </c>
      <c r="J368" s="4" t="inlineStr">
        <is>
          <t>Bar</t>
        </is>
      </c>
      <c r="K368" s="19" t="inlineStr">
        <is>
          <t>Trafog</t>
        </is>
      </c>
      <c r="L368" s="19" t="inlineStr">
        <is>
          <t>Switch</t>
        </is>
      </c>
      <c r="M368" s="19" t="inlineStr">
        <is>
          <t>-</t>
        </is>
      </c>
      <c r="N368" s="2">
        <f>IF(E368="","Waiting","Calibrated")</f>
        <v/>
      </c>
      <c r="O368" s="2" t="n"/>
      <c r="P368" s="2" t="n"/>
      <c r="Q368" s="2" t="n"/>
      <c r="R368" s="28" t="n"/>
      <c r="S368" s="28" t="n"/>
      <c r="T368" s="32" t="n"/>
    </row>
    <row r="369" ht="30" customFormat="1" customHeight="1" s="5">
      <c r="A369" s="17" t="n">
        <v>367</v>
      </c>
      <c r="B369" s="17" t="inlineStr">
        <is>
          <t>KIPP12</t>
        </is>
      </c>
      <c r="C369" s="2" t="inlineStr">
        <is>
          <t>12MBX21CP001</t>
        </is>
      </c>
      <c r="D369" s="14" t="inlineStr">
        <is>
          <t>P AFT PWR OIL PMP 1</t>
        </is>
      </c>
      <c r="E369" s="37" t="n"/>
      <c r="F369" s="103" t="n">
        <v>-1.01</v>
      </c>
      <c r="G369" s="103" t="n">
        <v>55.16</v>
      </c>
      <c r="H369" s="103" t="n">
        <v>0</v>
      </c>
      <c r="I369" s="103" t="n">
        <v>52</v>
      </c>
      <c r="J369" s="4" t="inlineStr">
        <is>
          <t>Bar</t>
        </is>
      </c>
      <c r="K369" s="19" t="inlineStr">
        <is>
          <t>ROSEMOUNT</t>
        </is>
      </c>
      <c r="L369" s="19" t="inlineStr">
        <is>
          <t>2088 PT</t>
        </is>
      </c>
      <c r="M369" s="20" t="n">
        <v>9791831</v>
      </c>
      <c r="N369" s="2">
        <f>IF(E369="","Waiting","Calibrated")</f>
        <v/>
      </c>
      <c r="O369" s="2" t="n"/>
      <c r="P369" s="2" t="n"/>
      <c r="Q369" s="2" t="n"/>
      <c r="R369" s="28" t="n"/>
      <c r="S369" s="28" t="n"/>
      <c r="T369" s="32" t="n"/>
    </row>
    <row r="370" ht="30" customFormat="1" customHeight="1" s="5">
      <c r="A370" s="17" t="n">
        <v>368</v>
      </c>
      <c r="B370" s="17" t="inlineStr">
        <is>
          <t>KIPP12</t>
        </is>
      </c>
      <c r="C370" s="2" t="inlineStr">
        <is>
          <t>12MBX21CP002</t>
        </is>
      </c>
      <c r="D370" s="14" t="inlineStr">
        <is>
          <t>P AFT PWR OIL PMP 2</t>
        </is>
      </c>
      <c r="E370" s="37" t="n"/>
      <c r="F370" s="103" t="n">
        <v>-1.01</v>
      </c>
      <c r="G370" s="103" t="n">
        <v>55.16</v>
      </c>
      <c r="H370" s="103" t="n">
        <v>0</v>
      </c>
      <c r="I370" s="103" t="n">
        <v>52</v>
      </c>
      <c r="J370" s="4" t="inlineStr">
        <is>
          <t>Bar</t>
        </is>
      </c>
      <c r="K370" s="19" t="inlineStr">
        <is>
          <t>ROSEMOUNT</t>
        </is>
      </c>
      <c r="L370" s="19" t="inlineStr">
        <is>
          <t>2088 PT</t>
        </is>
      </c>
      <c r="M370" s="19" t="n">
        <v>9791832</v>
      </c>
      <c r="N370" s="2">
        <f>IF(E370="","Waiting","Calibrated")</f>
        <v/>
      </c>
      <c r="O370" s="2" t="n"/>
      <c r="P370" s="2" t="n"/>
      <c r="Q370" s="2" t="n"/>
      <c r="R370" s="28" t="n"/>
      <c r="S370" s="28" t="n"/>
      <c r="T370" s="32" t="n"/>
    </row>
    <row r="371" ht="30" customFormat="1" customHeight="1" s="5">
      <c r="A371" s="17" t="n">
        <v>369</v>
      </c>
      <c r="B371" s="17" t="inlineStr">
        <is>
          <t>KIPP12</t>
        </is>
      </c>
      <c r="C371" s="2" t="inlineStr">
        <is>
          <t>12MBX21CP010</t>
        </is>
      </c>
      <c r="D371" s="14" t="inlineStr">
        <is>
          <t>GT P/O TWIN FILTER PDT</t>
        </is>
      </c>
      <c r="E371" s="37" t="n"/>
      <c r="F371" s="103" t="n">
        <v>-20.684</v>
      </c>
      <c r="G371" s="103" t="n">
        <v>20.684</v>
      </c>
      <c r="H371" s="103" t="n">
        <v>-2</v>
      </c>
      <c r="I371" s="103" t="n">
        <v>8</v>
      </c>
      <c r="J371" s="4" t="inlineStr">
        <is>
          <t>Bar</t>
        </is>
      </c>
      <c r="K371" s="19" t="inlineStr">
        <is>
          <t>ROSEMOUNT</t>
        </is>
      </c>
      <c r="L371" s="19" t="inlineStr">
        <is>
          <t>3051CD</t>
        </is>
      </c>
      <c r="M371" s="20" t="n">
        <v>9782046</v>
      </c>
      <c r="N371" s="2">
        <f>IF(E371="","Waiting","Calibrated")</f>
        <v/>
      </c>
      <c r="O371" s="2" t="n"/>
      <c r="P371" s="2" t="n"/>
      <c r="Q371" s="2" t="n"/>
      <c r="R371" s="28" t="n"/>
      <c r="S371" s="28" t="n"/>
      <c r="T371" s="32" t="n"/>
    </row>
    <row r="372" ht="30" customFormat="1" customHeight="1" s="5">
      <c r="A372" s="17" t="n">
        <v>370</v>
      </c>
      <c r="B372" s="17" t="inlineStr">
        <is>
          <t>KIPP12</t>
        </is>
      </c>
      <c r="C372" s="2" t="inlineStr">
        <is>
          <t>12MBX42CP001</t>
        </is>
      </c>
      <c r="D372" s="14" t="inlineStr">
        <is>
          <t>P HYDR SAFETY SYS</t>
        </is>
      </c>
      <c r="E372" s="37" t="n"/>
      <c r="F372" s="103" t="n">
        <v>-137.89</v>
      </c>
      <c r="G372" s="103" t="n">
        <v>137.89</v>
      </c>
      <c r="H372" s="103" t="n">
        <v>0</v>
      </c>
      <c r="I372" s="103" t="n">
        <v>60</v>
      </c>
      <c r="J372" s="4" t="inlineStr">
        <is>
          <t>Bar</t>
        </is>
      </c>
      <c r="K372" s="19" t="inlineStr">
        <is>
          <t>ROSEMOUNT</t>
        </is>
      </c>
      <c r="L372" s="19" t="inlineStr">
        <is>
          <t>3051 PT</t>
        </is>
      </c>
      <c r="M372" s="19" t="n">
        <v>9782047</v>
      </c>
      <c r="N372" s="2">
        <f>IF(E372="","Waiting","Calibrated")</f>
        <v/>
      </c>
      <c r="O372" s="2" t="n"/>
      <c r="P372" s="2" t="n"/>
      <c r="Q372" s="2" t="n"/>
      <c r="R372" s="28" t="n"/>
      <c r="S372" s="28" t="n"/>
      <c r="T372" s="32" t="n"/>
    </row>
    <row r="373" ht="30" customFormat="1" customHeight="1" s="5">
      <c r="A373" s="17" t="n">
        <v>371</v>
      </c>
      <c r="B373" s="17" t="inlineStr">
        <is>
          <t>KIPP12</t>
        </is>
      </c>
      <c r="C373" s="2" t="inlineStr">
        <is>
          <t>12LAB90CP001</t>
        </is>
      </c>
      <c r="D373" s="14" t="inlineStr">
        <is>
          <t>FEED WATER TO GT OTC STRAINER PDT</t>
        </is>
      </c>
      <c r="E373" s="37" t="n"/>
      <c r="F373" s="103" t="n">
        <v>-5</v>
      </c>
      <c r="G373" s="103" t="n">
        <v>5</v>
      </c>
      <c r="H373" s="103" t="n">
        <v>0</v>
      </c>
      <c r="I373" s="103" t="n">
        <v>2</v>
      </c>
      <c r="J373" s="4" t="inlineStr">
        <is>
          <t>Bar</t>
        </is>
      </c>
      <c r="K373" s="19" t="inlineStr">
        <is>
          <t>YOKOGAWA</t>
        </is>
      </c>
      <c r="L373" s="19" t="inlineStr">
        <is>
          <t>EJA110E</t>
        </is>
      </c>
      <c r="M373" s="19" t="inlineStr">
        <is>
          <t>91S313546</t>
        </is>
      </c>
      <c r="N373" s="2">
        <f>IF(E373="","Waiting","Calibrated")</f>
        <v/>
      </c>
      <c r="O373" s="2" t="n"/>
      <c r="P373" s="2" t="n"/>
      <c r="Q373" s="2" t="n"/>
      <c r="R373" s="28" t="n"/>
      <c r="S373" s="28" t="n"/>
      <c r="T373" s="32" t="n"/>
    </row>
    <row r="374" ht="30" customFormat="1" customHeight="1" s="5">
      <c r="A374" s="17" t="n">
        <v>372</v>
      </c>
      <c r="B374" s="17" t="inlineStr">
        <is>
          <t>KIPP12</t>
        </is>
      </c>
      <c r="C374" s="2" t="inlineStr">
        <is>
          <t>12LAB91CF101</t>
        </is>
      </c>
      <c r="D374" s="14" t="inlineStr">
        <is>
          <t>FW LP OTC  FITCA</t>
        </is>
      </c>
      <c r="E374" s="37" t="n">
        <v>46097</v>
      </c>
      <c r="F374" s="103" t="n">
        <v>-2486.4</v>
      </c>
      <c r="G374" s="103" t="n">
        <v>2486.4</v>
      </c>
      <c r="H374" s="103" t="n">
        <v>0</v>
      </c>
      <c r="I374" s="103" t="n">
        <v>600</v>
      </c>
      <c r="J374" s="4" t="inlineStr">
        <is>
          <t>mBar</t>
        </is>
      </c>
      <c r="K374" s="19" t="inlineStr">
        <is>
          <t>ROSEMOUNT</t>
        </is>
      </c>
      <c r="L374" s="19" t="inlineStr">
        <is>
          <t>3051CD</t>
        </is>
      </c>
      <c r="M374" s="19" t="n">
        <v>9816774</v>
      </c>
      <c r="N374" s="2">
        <f>IF(E374="","Waiting","Calibrated")</f>
        <v/>
      </c>
      <c r="O374" s="2" t="n"/>
      <c r="P374" s="2" t="n"/>
      <c r="Q374" s="2" t="n"/>
      <c r="R374" s="28" t="n"/>
      <c r="S374" s="28" t="n"/>
      <c r="T374" s="32" t="n"/>
    </row>
    <row r="375" ht="30" customFormat="1" customHeight="1" s="5">
      <c r="A375" s="17" t="n">
        <v>373</v>
      </c>
      <c r="B375" s="17" t="inlineStr">
        <is>
          <t>KIPP12</t>
        </is>
      </c>
      <c r="C375" s="2" t="inlineStr">
        <is>
          <t>12LAB91CF102</t>
        </is>
      </c>
      <c r="D375" s="14" t="inlineStr">
        <is>
          <t>FW LP OTC  FITCA</t>
        </is>
      </c>
      <c r="E375" s="37" t="n">
        <v>46097</v>
      </c>
      <c r="F375" s="103" t="n">
        <v>-2486.4</v>
      </c>
      <c r="G375" s="103" t="n">
        <v>2486.4</v>
      </c>
      <c r="H375" s="103" t="n">
        <v>0</v>
      </c>
      <c r="I375" s="103" t="n">
        <v>600</v>
      </c>
      <c r="J375" s="4" t="inlineStr">
        <is>
          <t>mBar</t>
        </is>
      </c>
      <c r="K375" s="19" t="inlineStr">
        <is>
          <t>ROSEMOUNT</t>
        </is>
      </c>
      <c r="L375" s="19" t="inlineStr">
        <is>
          <t>3051CD</t>
        </is>
      </c>
      <c r="M375" s="19" t="n">
        <v>9816937</v>
      </c>
      <c r="N375" s="2">
        <f>IF(E375="","Waiting","Calibrated")</f>
        <v/>
      </c>
      <c r="O375" s="2" t="n"/>
      <c r="P375" s="2" t="n"/>
      <c r="Q375" s="2" t="n"/>
      <c r="R375" s="28" t="n"/>
      <c r="S375" s="28" t="n"/>
      <c r="T375" s="32" t="n"/>
    </row>
    <row r="376" ht="30" customFormat="1" customHeight="1" s="5">
      <c r="A376" s="17" t="n">
        <v>374</v>
      </c>
      <c r="B376" s="17" t="inlineStr">
        <is>
          <t>KIPP12</t>
        </is>
      </c>
      <c r="C376" s="2" t="inlineStr">
        <is>
          <t>12LAB92CF101</t>
        </is>
      </c>
      <c r="D376" s="14" t="inlineStr">
        <is>
          <t>FW HP OTC  FITCA</t>
        </is>
      </c>
      <c r="E376" s="37" t="n">
        <v>46097</v>
      </c>
      <c r="F376" s="103" t="n">
        <v>-2486.4</v>
      </c>
      <c r="G376" s="103" t="n">
        <v>2486.4</v>
      </c>
      <c r="H376" s="103" t="n">
        <v>0</v>
      </c>
      <c r="I376" s="103" t="n">
        <v>250</v>
      </c>
      <c r="J376" s="4" t="inlineStr">
        <is>
          <t>mBar</t>
        </is>
      </c>
      <c r="K376" s="19" t="inlineStr">
        <is>
          <t>ROSEMOUNT</t>
        </is>
      </c>
      <c r="L376" s="19" t="inlineStr">
        <is>
          <t>3051CD</t>
        </is>
      </c>
      <c r="M376" s="19" t="n">
        <v>9816776</v>
      </c>
      <c r="N376" s="2">
        <f>IF(E376="","Waiting","Calibrated")</f>
        <v/>
      </c>
      <c r="O376" s="2" t="n"/>
      <c r="P376" s="2" t="n"/>
      <c r="Q376" s="2" t="n"/>
      <c r="R376" s="28" t="n"/>
      <c r="S376" s="28" t="n"/>
      <c r="T376" s="32" t="n"/>
    </row>
    <row r="377" ht="30" customFormat="1" customHeight="1" s="5">
      <c r="A377" s="17" t="n">
        <v>375</v>
      </c>
      <c r="B377" s="17" t="inlineStr">
        <is>
          <t>KIPP12</t>
        </is>
      </c>
      <c r="C377" s="2" t="inlineStr">
        <is>
          <t>12LAB92CF102</t>
        </is>
      </c>
      <c r="D377" s="14" t="inlineStr">
        <is>
          <t>FW HP OTC  FITCA</t>
        </is>
      </c>
      <c r="E377" s="37" t="n">
        <v>46097</v>
      </c>
      <c r="F377" s="103" t="n">
        <v>-2486.4</v>
      </c>
      <c r="G377" s="103" t="n">
        <v>2486.4</v>
      </c>
      <c r="H377" s="103" t="n">
        <v>0</v>
      </c>
      <c r="I377" s="103" t="n">
        <v>250</v>
      </c>
      <c r="J377" s="4" t="inlineStr">
        <is>
          <t>mBar</t>
        </is>
      </c>
      <c r="K377" s="19" t="inlineStr">
        <is>
          <t>ROSEMOUNT</t>
        </is>
      </c>
      <c r="L377" s="19" t="inlineStr">
        <is>
          <t>3051CD</t>
        </is>
      </c>
      <c r="M377" s="19" t="n">
        <v>9816777</v>
      </c>
      <c r="N377" s="2">
        <f>IF(E377="","Waiting","Calibrated")</f>
        <v/>
      </c>
      <c r="O377" s="2" t="n"/>
      <c r="P377" s="2" t="n"/>
      <c r="Q377" s="2" t="n"/>
      <c r="R377" s="28" t="n"/>
      <c r="S377" s="28" t="n"/>
      <c r="T377" s="32" t="n"/>
    </row>
    <row r="378" ht="30" customFormat="1" customHeight="1" s="5">
      <c r="A378" s="17" t="n">
        <v>376</v>
      </c>
      <c r="B378" s="17" t="n"/>
      <c r="C378" s="2" t="n"/>
      <c r="D378" s="14" t="n"/>
      <c r="E378" s="37" t="n"/>
      <c r="F378" s="103" t="n"/>
      <c r="G378" s="103" t="n"/>
      <c r="H378" s="103" t="n"/>
      <c r="I378" s="103" t="n"/>
      <c r="J378" s="4" t="n"/>
      <c r="K378" s="19" t="n"/>
      <c r="L378" s="19" t="n"/>
      <c r="M378" s="19" t="n"/>
      <c r="N378" s="2" t="n"/>
      <c r="O378" s="2" t="n"/>
      <c r="P378" s="2" t="n"/>
      <c r="Q378" s="2" t="n"/>
      <c r="R378" s="28" t="n"/>
      <c r="S378" s="28" t="n"/>
      <c r="T378" s="32" t="n"/>
    </row>
    <row r="379" ht="30" customFormat="1" customHeight="1" s="5">
      <c r="A379" s="17" t="n">
        <v>377</v>
      </c>
      <c r="B379" s="17" t="n"/>
      <c r="C379" s="2" t="n"/>
      <c r="D379" s="14" t="n"/>
      <c r="E379" s="37" t="n"/>
      <c r="F379" s="103" t="n"/>
      <c r="G379" s="103" t="n"/>
      <c r="H379" s="103" t="n"/>
      <c r="I379" s="103" t="n"/>
      <c r="J379" s="4" t="n"/>
      <c r="K379" s="19" t="n"/>
      <c r="L379" s="19" t="n"/>
      <c r="M379" s="19" t="n"/>
      <c r="N379" s="2" t="n"/>
      <c r="O379" s="2" t="n"/>
      <c r="P379" s="2" t="n"/>
      <c r="Q379" s="2" t="n"/>
      <c r="R379" s="28" t="n"/>
      <c r="S379" s="28" t="n"/>
      <c r="T379" s="32" t="n"/>
    </row>
    <row r="380" ht="30" customFormat="1" customHeight="1" s="5">
      <c r="A380" s="17" t="n">
        <v>378</v>
      </c>
      <c r="B380" s="17" t="n"/>
      <c r="C380" s="2" t="n"/>
      <c r="D380" s="14" t="n"/>
      <c r="E380" s="37" t="n"/>
      <c r="F380" s="103" t="n"/>
      <c r="G380" s="103" t="n"/>
      <c r="H380" s="103" t="n"/>
      <c r="I380" s="103" t="n"/>
      <c r="J380" s="4" t="n"/>
      <c r="K380" s="19" t="n"/>
      <c r="L380" s="19" t="n"/>
      <c r="M380" s="19" t="n"/>
      <c r="N380" s="2" t="n"/>
      <c r="O380" s="2" t="n"/>
      <c r="P380" s="2" t="n"/>
      <c r="Q380" s="2" t="n"/>
      <c r="R380" s="28" t="n"/>
      <c r="S380" s="28" t="n"/>
      <c r="T380" s="32" t="n"/>
    </row>
    <row r="381" ht="30" customFormat="1" customHeight="1" s="5">
      <c r="A381" s="17" t="n">
        <v>379</v>
      </c>
      <c r="B381" s="17" t="n"/>
      <c r="C381" s="2" t="n"/>
      <c r="D381" s="14" t="n"/>
      <c r="E381" s="37" t="n"/>
      <c r="F381" s="103" t="n"/>
      <c r="G381" s="103" t="n"/>
      <c r="H381" s="103" t="n"/>
      <c r="I381" s="103" t="n"/>
      <c r="J381" s="4" t="n"/>
      <c r="K381" s="19" t="n"/>
      <c r="L381" s="19" t="n"/>
      <c r="M381" s="19" t="n"/>
      <c r="N381" s="2" t="n"/>
      <c r="O381" s="2" t="n"/>
      <c r="P381" s="2" t="n"/>
      <c r="Q381" s="2" t="n"/>
      <c r="R381" s="28" t="n"/>
      <c r="S381" s="28" t="n"/>
      <c r="T381" s="32" t="n"/>
    </row>
    <row r="382" ht="30" customFormat="1" customHeight="1" s="5">
      <c r="A382" s="17" t="n">
        <v>380</v>
      </c>
      <c r="B382" s="17" t="n"/>
      <c r="C382" s="2" t="n"/>
      <c r="D382" s="14" t="n"/>
      <c r="E382" s="37" t="n"/>
      <c r="F382" s="103" t="n"/>
      <c r="G382" s="103" t="n"/>
      <c r="H382" s="103" t="n"/>
      <c r="I382" s="103" t="n"/>
      <c r="J382" s="4" t="n"/>
      <c r="K382" s="19" t="n"/>
      <c r="L382" s="19" t="n"/>
      <c r="M382" s="19" t="n"/>
      <c r="N382" s="2" t="n"/>
      <c r="O382" s="2" t="n"/>
      <c r="P382" s="2" t="n"/>
      <c r="Q382" s="2" t="n"/>
      <c r="R382" s="28" t="n"/>
      <c r="S382" s="28" t="n"/>
      <c r="T382" s="32" t="n"/>
    </row>
    <row r="383" ht="30" customFormat="1" customHeight="1" s="5">
      <c r="A383" s="17" t="n"/>
      <c r="B383" s="17" t="n"/>
      <c r="C383" s="2" t="n"/>
      <c r="D383" s="14" t="n"/>
      <c r="E383" s="37" t="n"/>
      <c r="F383" s="103" t="n"/>
      <c r="G383" s="103" t="n"/>
      <c r="H383" s="103" t="n"/>
      <c r="I383" s="103" t="n"/>
      <c r="J383" s="4" t="n"/>
      <c r="K383" s="19" t="n"/>
      <c r="L383" s="19" t="n"/>
      <c r="M383" s="19" t="n"/>
      <c r="N383" s="2" t="n"/>
      <c r="O383" s="2" t="n"/>
      <c r="P383" s="2" t="n"/>
      <c r="Q383" s="2" t="n"/>
      <c r="R383" s="28" t="n"/>
      <c r="S383" s="28" t="n"/>
      <c r="T383" s="32" t="n"/>
    </row>
    <row r="384" ht="30" customFormat="1" customHeight="1" s="5">
      <c r="A384" s="17" t="n"/>
      <c r="B384" s="17" t="n"/>
      <c r="C384" s="2" t="n"/>
      <c r="D384" s="14" t="n"/>
      <c r="E384" s="37" t="n"/>
      <c r="F384" s="103" t="n"/>
      <c r="G384" s="103" t="n"/>
      <c r="H384" s="103" t="n"/>
      <c r="I384" s="103" t="n"/>
      <c r="J384" s="4" t="n"/>
      <c r="K384" s="19" t="n"/>
      <c r="L384" s="19" t="n"/>
      <c r="M384" s="19" t="n"/>
      <c r="N384" s="2" t="n"/>
      <c r="O384" s="2" t="n"/>
      <c r="P384" s="2" t="n"/>
      <c r="Q384" s="2" t="n"/>
      <c r="R384" s="28" t="n"/>
      <c r="S384" s="28" t="n"/>
      <c r="T384" s="32" t="n"/>
    </row>
    <row r="385" ht="30" customFormat="1" customHeight="1" s="5">
      <c r="A385" s="17" t="n"/>
      <c r="B385" s="17" t="n"/>
      <c r="C385" s="2" t="n"/>
      <c r="D385" s="14" t="n"/>
      <c r="E385" s="37" t="n"/>
      <c r="F385" s="103" t="n"/>
      <c r="G385" s="103" t="n"/>
      <c r="H385" s="103" t="n"/>
      <c r="I385" s="103" t="n"/>
      <c r="J385" s="4" t="n"/>
      <c r="K385" s="19" t="n"/>
      <c r="L385" s="19" t="n"/>
      <c r="M385" s="19" t="n"/>
      <c r="N385" s="2" t="n"/>
      <c r="O385" s="2" t="n"/>
      <c r="P385" s="2" t="n"/>
      <c r="Q385" s="2" t="n"/>
      <c r="R385" s="28" t="n"/>
      <c r="S385" s="28" t="n"/>
      <c r="T385" s="32" t="n"/>
    </row>
    <row r="386" ht="30" customFormat="1" customHeight="1" s="5">
      <c r="A386" s="17" t="n"/>
      <c r="B386" s="17" t="n"/>
      <c r="C386" s="2" t="n"/>
      <c r="D386" s="14" t="n"/>
      <c r="E386" s="37" t="n"/>
      <c r="F386" s="103" t="n"/>
      <c r="G386" s="103" t="n"/>
      <c r="H386" s="103" t="n"/>
      <c r="I386" s="103" t="n"/>
      <c r="J386" s="4" t="n"/>
      <c r="K386" s="19" t="n"/>
      <c r="L386" s="19" t="n"/>
      <c r="M386" s="19" t="n"/>
      <c r="N386" s="2" t="n"/>
      <c r="O386" s="2" t="n"/>
      <c r="P386" s="2" t="n"/>
      <c r="Q386" s="2" t="n"/>
      <c r="R386" s="28" t="n"/>
      <c r="S386" s="28" t="n"/>
      <c r="T386" s="32" t="n"/>
    </row>
    <row r="387" ht="30" customFormat="1" customHeight="1" s="5">
      <c r="A387" s="17" t="n"/>
      <c r="B387" s="17" t="n"/>
      <c r="C387" s="2" t="n"/>
      <c r="D387" s="14" t="n"/>
      <c r="E387" s="37" t="n"/>
      <c r="F387" s="103" t="n"/>
      <c r="G387" s="103" t="n"/>
      <c r="H387" s="103" t="n"/>
      <c r="I387" s="103" t="n"/>
      <c r="J387" s="4" t="n"/>
      <c r="K387" s="19" t="n"/>
      <c r="L387" s="19" t="n"/>
      <c r="M387" s="19" t="n"/>
      <c r="N387" s="2" t="n"/>
      <c r="O387" s="2" t="n"/>
      <c r="P387" s="2" t="n"/>
      <c r="Q387" s="2" t="n"/>
      <c r="R387" s="28" t="n"/>
      <c r="S387" s="28" t="n"/>
      <c r="T387" s="32" t="n"/>
    </row>
    <row r="388" ht="30" customFormat="1" customHeight="1" s="5">
      <c r="A388" s="17" t="n"/>
      <c r="B388" s="17" t="n"/>
      <c r="C388" s="2" t="n"/>
      <c r="D388" s="14" t="n"/>
      <c r="E388" s="37" t="n"/>
      <c r="F388" s="103" t="n"/>
      <c r="G388" s="103" t="n"/>
      <c r="H388" s="103" t="n"/>
      <c r="I388" s="103" t="n"/>
      <c r="J388" s="4" t="n"/>
      <c r="K388" s="19" t="n"/>
      <c r="L388" s="19" t="n"/>
      <c r="M388" s="19" t="n"/>
      <c r="N388" s="2" t="n"/>
      <c r="O388" s="2" t="n"/>
      <c r="P388" s="2" t="n"/>
      <c r="Q388" s="2" t="n"/>
      <c r="R388" s="28" t="n"/>
      <c r="S388" s="28" t="n"/>
      <c r="T388" s="32" t="n"/>
    </row>
    <row r="389" ht="30" customFormat="1" customHeight="1" s="5">
      <c r="A389" s="17" t="n"/>
      <c r="B389" s="17" t="n"/>
      <c r="C389" s="2" t="n"/>
      <c r="D389" s="14" t="n"/>
      <c r="E389" s="37" t="n"/>
      <c r="F389" s="103" t="n"/>
      <c r="G389" s="103" t="n"/>
      <c r="H389" s="103" t="n"/>
      <c r="I389" s="103" t="n"/>
      <c r="J389" s="4" t="n"/>
      <c r="K389" s="19" t="n"/>
      <c r="L389" s="19" t="n"/>
      <c r="M389" s="19" t="n"/>
      <c r="N389" s="2" t="n"/>
      <c r="O389" s="2" t="n"/>
      <c r="P389" s="2" t="n"/>
      <c r="Q389" s="2" t="n"/>
      <c r="R389" s="28" t="n"/>
      <c r="S389" s="28" t="n"/>
      <c r="T389" s="32" t="n"/>
    </row>
    <row r="390" ht="30" customFormat="1" customHeight="1" s="5">
      <c r="A390" s="17" t="n"/>
      <c r="B390" s="17" t="n"/>
      <c r="C390" s="2" t="n"/>
      <c r="D390" s="14" t="n"/>
      <c r="E390" s="37" t="n"/>
      <c r="F390" s="103" t="n"/>
      <c r="G390" s="103" t="n"/>
      <c r="H390" s="103" t="n"/>
      <c r="I390" s="103" t="n"/>
      <c r="J390" s="4" t="n"/>
      <c r="K390" s="19" t="n"/>
      <c r="L390" s="19" t="n"/>
      <c r="M390" s="19" t="n"/>
      <c r="N390" s="2" t="n"/>
      <c r="O390" s="2" t="n"/>
      <c r="P390" s="2" t="n"/>
      <c r="Q390" s="2" t="n"/>
      <c r="R390" s="28" t="n"/>
      <c r="S390" s="28" t="n"/>
      <c r="T390" s="32" t="n"/>
    </row>
    <row r="391" ht="30" customFormat="1" customHeight="1" s="5">
      <c r="A391" s="17" t="n"/>
      <c r="B391" s="17" t="n"/>
      <c r="C391" s="2" t="n"/>
      <c r="D391" s="14" t="n"/>
      <c r="E391" s="37" t="n"/>
      <c r="F391" s="103" t="n"/>
      <c r="G391" s="103" t="n"/>
      <c r="H391" s="103" t="n"/>
      <c r="I391" s="103" t="n"/>
      <c r="J391" s="4" t="n"/>
      <c r="K391" s="19" t="n"/>
      <c r="L391" s="19" t="n"/>
      <c r="M391" s="19" t="n"/>
      <c r="N391" s="2" t="n"/>
      <c r="O391" s="2" t="n"/>
      <c r="P391" s="2" t="n"/>
      <c r="Q391" s="2" t="n"/>
      <c r="R391" s="28" t="n"/>
      <c r="S391" s="28" t="n"/>
      <c r="T391" s="32" t="n"/>
    </row>
    <row r="392" ht="30" customFormat="1" customHeight="1" s="5">
      <c r="A392" s="17" t="n"/>
      <c r="B392" s="17" t="n"/>
      <c r="C392" s="2" t="n"/>
      <c r="D392" s="14" t="n"/>
      <c r="E392" s="37" t="n"/>
      <c r="F392" s="103" t="n"/>
      <c r="G392" s="103" t="n"/>
      <c r="H392" s="103" t="n"/>
      <c r="I392" s="103" t="n"/>
      <c r="J392" s="4" t="n"/>
      <c r="K392" s="19" t="n"/>
      <c r="L392" s="19" t="n"/>
      <c r="M392" s="19" t="n"/>
      <c r="N392" s="2" t="n"/>
      <c r="O392" s="2" t="n"/>
      <c r="P392" s="2" t="n"/>
      <c r="Q392" s="2" t="n"/>
      <c r="R392" s="28" t="n"/>
      <c r="S392" s="28" t="n"/>
      <c r="T392" s="32" t="n"/>
    </row>
    <row r="393" ht="30" customFormat="1" customHeight="1" s="5">
      <c r="A393" s="17" t="n"/>
      <c r="B393" s="17" t="n"/>
      <c r="C393" s="2" t="n"/>
      <c r="D393" s="14" t="n"/>
      <c r="E393" s="37" t="n"/>
      <c r="F393" s="103" t="n"/>
      <c r="G393" s="103" t="n"/>
      <c r="H393" s="103" t="n"/>
      <c r="I393" s="103" t="n"/>
      <c r="J393" s="4" t="n"/>
      <c r="K393" s="19" t="n"/>
      <c r="L393" s="19" t="n"/>
      <c r="M393" s="19" t="n"/>
      <c r="N393" s="2" t="n"/>
      <c r="O393" s="2" t="n"/>
      <c r="P393" s="2" t="n"/>
      <c r="Q393" s="2" t="n"/>
      <c r="R393" s="28" t="n"/>
      <c r="S393" s="28" t="n"/>
      <c r="T393" s="32" t="n"/>
    </row>
    <row r="394" ht="30" customFormat="1" customHeight="1" s="5">
      <c r="A394" s="17" t="n"/>
      <c r="B394" s="17" t="n"/>
      <c r="C394" s="2" t="n"/>
      <c r="D394" s="14" t="n"/>
      <c r="E394" s="37" t="n"/>
      <c r="F394" s="103" t="n"/>
      <c r="G394" s="103" t="n"/>
      <c r="H394" s="103" t="n"/>
      <c r="I394" s="103" t="n"/>
      <c r="J394" s="4" t="n"/>
      <c r="K394" s="19" t="n"/>
      <c r="L394" s="19" t="n"/>
      <c r="M394" s="19" t="n"/>
      <c r="N394" s="2" t="n"/>
      <c r="O394" s="2" t="n"/>
      <c r="P394" s="2" t="n"/>
      <c r="Q394" s="2" t="n"/>
      <c r="R394" s="28" t="n"/>
      <c r="S394" s="28" t="n"/>
      <c r="T394" s="32" t="n"/>
    </row>
    <row r="395" ht="30" customFormat="1" customHeight="1" s="5">
      <c r="A395" s="17" t="n"/>
      <c r="B395" s="17" t="n"/>
      <c r="C395" s="2" t="n"/>
      <c r="D395" s="14" t="n"/>
      <c r="E395" s="37" t="n"/>
      <c r="F395" s="103" t="n"/>
      <c r="G395" s="103" t="n"/>
      <c r="H395" s="103" t="n"/>
      <c r="I395" s="103" t="n"/>
      <c r="J395" s="4" t="n"/>
      <c r="K395" s="19" t="n"/>
      <c r="L395" s="19" t="n"/>
      <c r="M395" s="19" t="n"/>
      <c r="N395" s="2" t="n"/>
      <c r="O395" s="2" t="n"/>
      <c r="P395" s="2" t="n"/>
      <c r="Q395" s="2" t="n"/>
      <c r="R395" s="28" t="n"/>
      <c r="S395" s="28" t="n"/>
      <c r="T395" s="32" t="n"/>
    </row>
    <row r="396" ht="30" customFormat="1" customHeight="1" s="5">
      <c r="A396" s="17" t="n"/>
      <c r="B396" s="17" t="n"/>
      <c r="C396" s="2" t="n"/>
      <c r="D396" s="14" t="n"/>
      <c r="E396" s="37" t="n"/>
      <c r="F396" s="103" t="n"/>
      <c r="G396" s="103" t="n"/>
      <c r="H396" s="103" t="n"/>
      <c r="I396" s="103" t="n"/>
      <c r="J396" s="4" t="n"/>
      <c r="K396" s="19" t="n"/>
      <c r="L396" s="19" t="n"/>
      <c r="M396" s="19" t="n"/>
      <c r="N396" s="2" t="n"/>
      <c r="O396" s="2" t="n"/>
      <c r="P396" s="2" t="n"/>
      <c r="Q396" s="2" t="n"/>
      <c r="R396" s="28" t="n"/>
      <c r="S396" s="28" t="n"/>
      <c r="T396" s="32" t="n"/>
    </row>
    <row r="397" ht="30" customFormat="1" customHeight="1" s="5">
      <c r="A397" s="17" t="n"/>
      <c r="B397" s="17" t="n"/>
      <c r="C397" s="2" t="n"/>
      <c r="D397" s="14" t="n"/>
      <c r="E397" s="37" t="n"/>
      <c r="F397" s="103" t="n"/>
      <c r="G397" s="103" t="n"/>
      <c r="H397" s="103" t="n"/>
      <c r="I397" s="103" t="n"/>
      <c r="J397" s="4" t="n"/>
      <c r="K397" s="19" t="n"/>
      <c r="L397" s="19" t="n"/>
      <c r="M397" s="19" t="n"/>
      <c r="N397" s="2" t="n"/>
      <c r="O397" s="2" t="n"/>
      <c r="P397" s="2" t="n"/>
      <c r="Q397" s="2" t="n"/>
      <c r="R397" s="28" t="n"/>
      <c r="S397" s="28" t="n"/>
      <c r="T397" s="32" t="n"/>
    </row>
    <row r="398" ht="30" customFormat="1" customHeight="1" s="5">
      <c r="A398" s="17" t="n"/>
      <c r="B398" s="17" t="n"/>
      <c r="C398" s="2" t="n"/>
      <c r="D398" s="14" t="n"/>
      <c r="E398" s="37" t="n"/>
      <c r="F398" s="103" t="n"/>
      <c r="G398" s="103" t="n"/>
      <c r="H398" s="103" t="n"/>
      <c r="I398" s="103" t="n"/>
      <c r="J398" s="4" t="n"/>
      <c r="K398" s="19" t="n"/>
      <c r="L398" s="19" t="n"/>
      <c r="M398" s="19" t="n"/>
      <c r="N398" s="2" t="n"/>
      <c r="O398" s="2" t="n"/>
      <c r="P398" s="2" t="n"/>
      <c r="Q398" s="2" t="n"/>
      <c r="R398" s="28" t="n"/>
      <c r="S398" s="28" t="n"/>
      <c r="T398" s="32" t="n"/>
    </row>
    <row r="399" ht="30" customFormat="1" customHeight="1" s="5">
      <c r="A399" s="17" t="n"/>
      <c r="B399" s="17" t="n"/>
      <c r="C399" s="2" t="n"/>
      <c r="D399" s="14" t="n"/>
      <c r="E399" s="37" t="n"/>
      <c r="F399" s="103" t="n"/>
      <c r="G399" s="103" t="n"/>
      <c r="H399" s="103" t="n"/>
      <c r="I399" s="103" t="n"/>
      <c r="J399" s="4" t="n"/>
      <c r="K399" s="19" t="n"/>
      <c r="L399" s="19" t="n"/>
      <c r="M399" s="19" t="n"/>
      <c r="N399" s="2" t="n"/>
      <c r="O399" s="2" t="n"/>
      <c r="P399" s="2" t="n"/>
      <c r="Q399" s="2" t="n"/>
      <c r="R399" s="28" t="n"/>
      <c r="S399" s="28" t="n"/>
      <c r="T399" s="32" t="n"/>
    </row>
    <row r="400" ht="30" customFormat="1" customHeight="1" s="5">
      <c r="A400" s="17" t="n"/>
      <c r="B400" s="17" t="n"/>
      <c r="C400" s="2" t="n"/>
      <c r="D400" s="14" t="n"/>
      <c r="E400" s="37" t="n"/>
      <c r="F400" s="103" t="n"/>
      <c r="G400" s="103" t="n"/>
      <c r="H400" s="103" t="n"/>
      <c r="I400" s="103" t="n"/>
      <c r="J400" s="4" t="n"/>
      <c r="K400" s="19" t="n"/>
      <c r="L400" s="19" t="n"/>
      <c r="M400" s="19" t="n"/>
      <c r="N400" s="2" t="n"/>
      <c r="O400" s="2" t="n"/>
      <c r="P400" s="2" t="n"/>
      <c r="Q400" s="2" t="n"/>
      <c r="R400" s="28" t="n"/>
      <c r="S400" s="28" t="n"/>
      <c r="T400" s="32" t="n"/>
    </row>
    <row r="401" ht="30" customFormat="1" customHeight="1" s="5">
      <c r="A401" s="17" t="n"/>
      <c r="B401" s="17" t="n"/>
      <c r="C401" s="2" t="n"/>
      <c r="D401" s="14" t="n"/>
      <c r="E401" s="37" t="n"/>
      <c r="F401" s="103" t="n"/>
      <c r="G401" s="103" t="n"/>
      <c r="H401" s="103" t="n"/>
      <c r="I401" s="103" t="n"/>
      <c r="J401" s="4" t="n"/>
      <c r="K401" s="19" t="n"/>
      <c r="L401" s="19" t="n"/>
      <c r="M401" s="19" t="n"/>
      <c r="N401" s="2" t="n"/>
      <c r="O401" s="2" t="n"/>
      <c r="P401" s="2" t="n"/>
      <c r="Q401" s="2" t="n"/>
      <c r="R401" s="28" t="n"/>
      <c r="S401" s="28" t="n"/>
      <c r="T401" s="32" t="n"/>
    </row>
    <row r="402" ht="30" customFormat="1" customHeight="1" s="5">
      <c r="A402" s="17" t="n"/>
      <c r="B402" s="17" t="n"/>
      <c r="C402" s="2" t="n"/>
      <c r="D402" s="14" t="n"/>
      <c r="E402" s="37" t="n"/>
      <c r="F402" s="103" t="n"/>
      <c r="G402" s="103" t="n"/>
      <c r="H402" s="103" t="n"/>
      <c r="I402" s="103" t="n"/>
      <c r="J402" s="4" t="n"/>
      <c r="K402" s="19" t="n"/>
      <c r="L402" s="19" t="n"/>
      <c r="M402" s="19" t="n"/>
      <c r="N402" s="2" t="n"/>
      <c r="O402" s="2" t="n"/>
      <c r="P402" s="2" t="n"/>
      <c r="Q402" s="2" t="n"/>
      <c r="R402" s="28" t="n"/>
      <c r="S402" s="28" t="n"/>
      <c r="T402" s="32" t="n"/>
    </row>
    <row r="403" ht="30" customFormat="1" customHeight="1" s="5">
      <c r="A403" s="17" t="n"/>
      <c r="B403" s="17" t="n"/>
      <c r="C403" s="2" t="n"/>
      <c r="D403" s="14" t="n"/>
      <c r="E403" s="37" t="n"/>
      <c r="F403" s="103" t="n"/>
      <c r="G403" s="103" t="n"/>
      <c r="H403" s="103" t="n"/>
      <c r="I403" s="103" t="n"/>
      <c r="J403" s="4" t="n"/>
      <c r="K403" s="19" t="n"/>
      <c r="L403" s="19" t="n"/>
      <c r="M403" s="19" t="n"/>
      <c r="N403" s="2" t="n"/>
      <c r="O403" s="2" t="n"/>
      <c r="P403" s="2" t="n"/>
      <c r="Q403" s="2" t="n"/>
      <c r="R403" s="28" t="n"/>
      <c r="S403" s="28" t="n"/>
      <c r="T403" s="32" t="n"/>
    </row>
    <row r="404" ht="30" customFormat="1" customHeight="1" s="5">
      <c r="A404" s="17" t="n"/>
      <c r="B404" s="17" t="n"/>
      <c r="C404" s="2" t="n"/>
      <c r="D404" s="14" t="n"/>
      <c r="E404" s="37" t="n"/>
      <c r="F404" s="103" t="n"/>
      <c r="G404" s="103" t="n"/>
      <c r="H404" s="103" t="n"/>
      <c r="I404" s="103" t="n"/>
      <c r="J404" s="4" t="n"/>
      <c r="K404" s="19" t="n"/>
      <c r="L404" s="19" t="n"/>
      <c r="M404" s="19" t="n"/>
      <c r="N404" s="2" t="n"/>
      <c r="O404" s="2" t="n"/>
      <c r="P404" s="2" t="n"/>
      <c r="Q404" s="2" t="n"/>
      <c r="R404" s="28" t="n"/>
      <c r="S404" s="28" t="n"/>
      <c r="T404" s="32" t="n"/>
    </row>
    <row r="405" ht="30" customFormat="1" customHeight="1" s="5">
      <c r="A405" s="17" t="n"/>
      <c r="B405" s="17" t="n"/>
      <c r="C405" s="2" t="n"/>
      <c r="D405" s="14" t="n"/>
      <c r="E405" s="37" t="n"/>
      <c r="F405" s="103" t="n"/>
      <c r="G405" s="103" t="n"/>
      <c r="H405" s="103" t="n"/>
      <c r="I405" s="103" t="n"/>
      <c r="J405" s="4" t="n"/>
      <c r="K405" s="19" t="n"/>
      <c r="L405" s="19" t="n"/>
      <c r="M405" s="19" t="n"/>
      <c r="N405" s="2" t="n"/>
      <c r="O405" s="2" t="n"/>
      <c r="P405" s="2" t="n"/>
      <c r="Q405" s="2" t="n"/>
      <c r="R405" s="28" t="n"/>
      <c r="S405" s="28" t="n"/>
      <c r="T405" s="32" t="n"/>
    </row>
    <row r="406" ht="30" customFormat="1" customHeight="1" s="5">
      <c r="A406" s="17" t="n"/>
      <c r="B406" s="17" t="n"/>
      <c r="C406" s="2" t="n"/>
      <c r="D406" s="14" t="n"/>
      <c r="E406" s="37" t="n"/>
      <c r="F406" s="103" t="n"/>
      <c r="G406" s="103" t="n"/>
      <c r="H406" s="103" t="n"/>
      <c r="I406" s="103" t="n"/>
      <c r="J406" s="4" t="n"/>
      <c r="K406" s="19" t="n"/>
      <c r="L406" s="19" t="n"/>
      <c r="M406" s="19" t="n"/>
      <c r="N406" s="2" t="n"/>
      <c r="O406" s="2" t="n"/>
      <c r="P406" s="2" t="n"/>
      <c r="Q406" s="2" t="n"/>
      <c r="R406" s="28" t="n"/>
      <c r="S406" s="28" t="n"/>
      <c r="T406" s="32" t="n"/>
    </row>
    <row r="407" ht="30" customFormat="1" customHeight="1" s="5">
      <c r="A407" s="17" t="n"/>
      <c r="B407" s="17" t="n"/>
      <c r="C407" s="2" t="n"/>
      <c r="D407" s="14" t="n"/>
      <c r="E407" s="37" t="n"/>
      <c r="F407" s="103" t="n"/>
      <c r="G407" s="103" t="n"/>
      <c r="H407" s="103" t="n"/>
      <c r="I407" s="103" t="n"/>
      <c r="J407" s="4" t="n"/>
      <c r="K407" s="19" t="n"/>
      <c r="L407" s="19" t="n"/>
      <c r="M407" s="19" t="n"/>
      <c r="N407" s="2" t="n"/>
      <c r="O407" s="2" t="n"/>
      <c r="P407" s="2" t="n"/>
      <c r="Q407" s="2" t="n"/>
      <c r="R407" s="28" t="n"/>
      <c r="S407" s="28" t="n"/>
      <c r="T407" s="32" t="n"/>
    </row>
    <row r="408" ht="30" customFormat="1" customHeight="1" s="5">
      <c r="A408" s="17" t="n"/>
      <c r="B408" s="17" t="n"/>
      <c r="C408" s="2" t="n"/>
      <c r="D408" s="14" t="n"/>
      <c r="E408" s="37" t="n"/>
      <c r="F408" s="103" t="n"/>
      <c r="G408" s="103" t="n"/>
      <c r="H408" s="103" t="n"/>
      <c r="I408" s="103" t="n"/>
      <c r="J408" s="4" t="n"/>
      <c r="K408" s="19" t="n"/>
      <c r="L408" s="19" t="n"/>
      <c r="M408" s="19" t="n"/>
      <c r="N408" s="2" t="n"/>
      <c r="O408" s="2" t="n"/>
      <c r="P408" s="2" t="n"/>
      <c r="Q408" s="2" t="n"/>
      <c r="R408" s="28" t="n"/>
      <c r="S408" s="28" t="n"/>
      <c r="T408" s="32" t="n"/>
    </row>
    <row r="409" ht="30" customFormat="1" customHeight="1" s="5">
      <c r="A409" s="17" t="n"/>
      <c r="B409" s="17" t="n"/>
      <c r="C409" s="2" t="n"/>
      <c r="D409" s="14" t="n"/>
      <c r="E409" s="37" t="n"/>
      <c r="F409" s="103" t="n"/>
      <c r="G409" s="103" t="n"/>
      <c r="H409" s="103" t="n"/>
      <c r="I409" s="103" t="n"/>
      <c r="J409" s="4" t="n"/>
      <c r="K409" s="19" t="n"/>
      <c r="L409" s="19" t="n"/>
      <c r="M409" s="19" t="n"/>
      <c r="N409" s="2" t="n"/>
      <c r="O409" s="2" t="n"/>
      <c r="P409" s="2" t="n"/>
      <c r="Q409" s="2" t="n"/>
      <c r="R409" s="28" t="n"/>
      <c r="S409" s="28" t="n"/>
      <c r="T409" s="32" t="n"/>
    </row>
    <row r="410" ht="30" customFormat="1" customHeight="1" s="5">
      <c r="A410" s="17" t="n"/>
      <c r="B410" s="17" t="n"/>
      <c r="C410" s="2" t="n"/>
      <c r="D410" s="14" t="n"/>
      <c r="E410" s="37" t="n"/>
      <c r="F410" s="103" t="n"/>
      <c r="G410" s="103" t="n"/>
      <c r="H410" s="103" t="n"/>
      <c r="I410" s="103" t="n"/>
      <c r="J410" s="4" t="n"/>
      <c r="K410" s="19" t="n"/>
      <c r="L410" s="19" t="n"/>
      <c r="M410" s="19" t="n"/>
      <c r="N410" s="2" t="n"/>
      <c r="O410" s="2" t="n"/>
      <c r="P410" s="2" t="n"/>
      <c r="Q410" s="2" t="n"/>
      <c r="R410" s="28" t="n"/>
      <c r="S410" s="28" t="n"/>
      <c r="T410" s="32" t="n"/>
    </row>
    <row r="411" ht="30" customFormat="1" customHeight="1" s="5">
      <c r="A411" s="17" t="n"/>
      <c r="B411" s="17" t="n"/>
      <c r="C411" s="2" t="n"/>
      <c r="D411" s="14" t="n"/>
      <c r="E411" s="37" t="n"/>
      <c r="F411" s="103" t="n"/>
      <c r="G411" s="103" t="n"/>
      <c r="H411" s="103" t="n"/>
      <c r="I411" s="103" t="n"/>
      <c r="J411" s="4" t="n"/>
      <c r="K411" s="19" t="n"/>
      <c r="L411" s="19" t="n"/>
      <c r="M411" s="19" t="n"/>
      <c r="N411" s="2" t="n"/>
      <c r="O411" s="2" t="n"/>
      <c r="P411" s="2" t="n"/>
      <c r="Q411" s="2" t="n"/>
      <c r="R411" s="28" t="n"/>
      <c r="S411" s="28" t="n"/>
      <c r="T411" s="32" t="n"/>
    </row>
    <row r="412" ht="30" customFormat="1" customHeight="1" s="5">
      <c r="A412" s="17" t="n"/>
      <c r="B412" s="17" t="n"/>
      <c r="C412" s="2" t="n"/>
      <c r="D412" s="14" t="n"/>
      <c r="E412" s="37" t="n"/>
      <c r="F412" s="103" t="n"/>
      <c r="G412" s="103" t="n"/>
      <c r="H412" s="103" t="n"/>
      <c r="I412" s="103" t="n"/>
      <c r="J412" s="4" t="n"/>
      <c r="K412" s="19" t="n"/>
      <c r="L412" s="19" t="n"/>
      <c r="M412" s="19" t="n"/>
      <c r="N412" s="2" t="n"/>
      <c r="O412" s="2" t="n"/>
      <c r="P412" s="2" t="n"/>
      <c r="Q412" s="2" t="n"/>
      <c r="R412" s="28" t="n"/>
      <c r="S412" s="28" t="n"/>
      <c r="T412" s="32" t="n"/>
    </row>
    <row r="413" ht="30" customFormat="1" customHeight="1" s="5">
      <c r="A413" s="17" t="n"/>
      <c r="B413" s="17" t="n"/>
      <c r="C413" s="2" t="n"/>
      <c r="D413" s="14" t="n"/>
      <c r="E413" s="37" t="n"/>
      <c r="F413" s="103" t="n"/>
      <c r="G413" s="103" t="n"/>
      <c r="H413" s="103" t="n"/>
      <c r="I413" s="103" t="n"/>
      <c r="J413" s="4" t="n"/>
      <c r="K413" s="19" t="n"/>
      <c r="L413" s="19" t="n"/>
      <c r="M413" s="19" t="n"/>
      <c r="N413" s="2" t="n"/>
      <c r="O413" s="2" t="n"/>
      <c r="P413" s="2" t="n"/>
      <c r="Q413" s="2" t="n"/>
      <c r="R413" s="28" t="n"/>
      <c r="S413" s="28" t="n"/>
      <c r="T413" s="32" t="n"/>
    </row>
    <row r="414" ht="30" customFormat="1" customHeight="1" s="5">
      <c r="A414" s="17" t="n"/>
      <c r="B414" s="17" t="n"/>
      <c r="C414" s="2" t="n"/>
      <c r="D414" s="14" t="n"/>
      <c r="E414" s="37" t="n"/>
      <c r="F414" s="103" t="n"/>
      <c r="G414" s="103" t="n"/>
      <c r="H414" s="103" t="n"/>
      <c r="I414" s="103" t="n"/>
      <c r="J414" s="4" t="n"/>
      <c r="K414" s="19" t="n"/>
      <c r="L414" s="19" t="n"/>
      <c r="M414" s="19" t="n"/>
      <c r="N414" s="2" t="n"/>
      <c r="O414" s="2" t="n"/>
      <c r="P414" s="2" t="n"/>
      <c r="Q414" s="2" t="n"/>
      <c r="R414" s="28" t="n"/>
      <c r="S414" s="28" t="n"/>
      <c r="T414" s="32" t="n"/>
    </row>
    <row r="415" ht="30" customFormat="1" customHeight="1" s="5">
      <c r="A415" s="17" t="n"/>
      <c r="B415" s="17" t="n"/>
      <c r="C415" s="2" t="n"/>
      <c r="D415" s="14" t="n"/>
      <c r="E415" s="37" t="n"/>
      <c r="F415" s="103" t="n"/>
      <c r="G415" s="103" t="n"/>
      <c r="H415" s="103" t="n"/>
      <c r="I415" s="103" t="n"/>
      <c r="J415" s="4" t="n"/>
      <c r="K415" s="19" t="n"/>
      <c r="L415" s="19" t="n"/>
      <c r="M415" s="19" t="n"/>
      <c r="N415" s="2" t="n"/>
      <c r="O415" s="2" t="n"/>
      <c r="P415" s="2" t="n"/>
      <c r="Q415" s="2" t="n"/>
      <c r="R415" s="28" t="n"/>
      <c r="S415" s="28" t="n"/>
      <c r="T415" s="32" t="n"/>
    </row>
    <row r="416" ht="30" customFormat="1" customHeight="1" s="5">
      <c r="A416" s="17" t="n"/>
      <c r="B416" s="17" t="n"/>
      <c r="C416" s="2" t="n"/>
      <c r="D416" s="14" t="n"/>
      <c r="E416" s="37" t="n"/>
      <c r="F416" s="103" t="n"/>
      <c r="G416" s="103" t="n"/>
      <c r="H416" s="103" t="n"/>
      <c r="I416" s="103" t="n"/>
      <c r="J416" s="4" t="n"/>
      <c r="K416" s="19" t="n"/>
      <c r="L416" s="19" t="n"/>
      <c r="M416" s="19" t="n"/>
      <c r="N416" s="2" t="n"/>
      <c r="O416" s="2" t="n"/>
      <c r="P416" s="2" t="n"/>
      <c r="Q416" s="2" t="n"/>
      <c r="R416" s="28" t="n"/>
      <c r="S416" s="28" t="n"/>
      <c r="T416" s="32" t="n"/>
    </row>
    <row r="417" ht="30" customFormat="1" customHeight="1" s="5">
      <c r="A417" s="17" t="n"/>
      <c r="B417" s="17" t="n"/>
      <c r="C417" s="2" t="n"/>
      <c r="D417" s="14" t="n"/>
      <c r="E417" s="37" t="n"/>
      <c r="F417" s="103" t="n"/>
      <c r="G417" s="103" t="n"/>
      <c r="H417" s="103" t="n"/>
      <c r="I417" s="103" t="n"/>
      <c r="J417" s="4" t="n"/>
      <c r="K417" s="19" t="n"/>
      <c r="L417" s="19" t="n"/>
      <c r="M417" s="19" t="n"/>
      <c r="N417" s="2" t="n"/>
      <c r="O417" s="2" t="n"/>
      <c r="P417" s="2" t="n"/>
      <c r="Q417" s="2" t="n"/>
      <c r="R417" s="28" t="n"/>
      <c r="S417" s="28" t="n"/>
      <c r="T417" s="32" t="n"/>
    </row>
    <row r="418" ht="30" customFormat="1" customHeight="1" s="5">
      <c r="A418" s="17" t="n"/>
      <c r="B418" s="17" t="n"/>
      <c r="C418" s="2" t="n"/>
      <c r="D418" s="14" t="n"/>
      <c r="E418" s="37" t="n"/>
      <c r="F418" s="103" t="n"/>
      <c r="G418" s="103" t="n"/>
      <c r="H418" s="103" t="n"/>
      <c r="I418" s="103" t="n"/>
      <c r="J418" s="4" t="n"/>
      <c r="K418" s="19" t="n"/>
      <c r="L418" s="19" t="n"/>
      <c r="M418" s="19" t="n"/>
      <c r="N418" s="2" t="n"/>
      <c r="O418" s="2" t="n"/>
      <c r="P418" s="2" t="n"/>
      <c r="Q418" s="2" t="n"/>
      <c r="R418" s="28" t="n"/>
      <c r="S418" s="28" t="n"/>
      <c r="T418" s="32" t="n"/>
    </row>
    <row r="419" ht="30" customFormat="1" customHeight="1" s="5">
      <c r="A419" s="17" t="n"/>
      <c r="B419" s="17" t="n"/>
      <c r="C419" s="2" t="n"/>
      <c r="D419" s="14" t="n"/>
      <c r="E419" s="37" t="n"/>
      <c r="F419" s="103" t="n"/>
      <c r="G419" s="103" t="n"/>
      <c r="H419" s="103" t="n"/>
      <c r="I419" s="103" t="n"/>
      <c r="J419" s="4" t="n"/>
      <c r="K419" s="19" t="n"/>
      <c r="L419" s="19" t="n"/>
      <c r="M419" s="19" t="n"/>
      <c r="N419" s="2" t="n"/>
      <c r="O419" s="2" t="n"/>
      <c r="P419" s="2" t="n"/>
      <c r="Q419" s="2" t="n"/>
      <c r="R419" s="28" t="n"/>
      <c r="S419" s="28" t="n"/>
      <c r="T419" s="32" t="n"/>
    </row>
    <row r="420" ht="30" customFormat="1" customHeight="1" s="5">
      <c r="A420" s="17" t="n"/>
      <c r="B420" s="17" t="n"/>
      <c r="C420" s="2" t="n"/>
      <c r="D420" s="14" t="n"/>
      <c r="E420" s="37" t="n"/>
      <c r="F420" s="103" t="n"/>
      <c r="G420" s="103" t="n"/>
      <c r="H420" s="103" t="n"/>
      <c r="I420" s="103" t="n"/>
      <c r="J420" s="4" t="n"/>
      <c r="K420" s="19" t="n"/>
      <c r="L420" s="19" t="n"/>
      <c r="M420" s="19" t="n"/>
      <c r="N420" s="2" t="n"/>
      <c r="O420" s="2" t="n"/>
      <c r="P420" s="2" t="n"/>
      <c r="Q420" s="2" t="n"/>
      <c r="R420" s="28" t="n"/>
      <c r="S420" s="28" t="n"/>
      <c r="T420" s="32" t="n"/>
    </row>
    <row r="421" ht="30" customFormat="1" customHeight="1" s="5">
      <c r="A421" s="17" t="n"/>
      <c r="B421" s="17" t="n"/>
      <c r="C421" s="2" t="n"/>
      <c r="D421" s="14" t="n"/>
      <c r="E421" s="37" t="n"/>
      <c r="F421" s="103" t="n"/>
      <c r="G421" s="103" t="n"/>
      <c r="H421" s="103" t="n"/>
      <c r="I421" s="103" t="n"/>
      <c r="J421" s="4" t="n"/>
      <c r="K421" s="19" t="n"/>
      <c r="L421" s="19" t="n"/>
      <c r="M421" s="19" t="n"/>
      <c r="N421" s="2" t="n"/>
      <c r="O421" s="2" t="n"/>
      <c r="P421" s="2" t="n"/>
      <c r="Q421" s="2" t="n"/>
      <c r="R421" s="28" t="n"/>
      <c r="S421" s="28" t="n"/>
      <c r="T421" s="32" t="n"/>
    </row>
    <row r="422" ht="30" customFormat="1" customHeight="1" s="5">
      <c r="A422" s="17" t="n"/>
      <c r="B422" s="17" t="n"/>
      <c r="C422" s="2" t="n"/>
      <c r="D422" s="14" t="n"/>
      <c r="E422" s="37" t="n"/>
      <c r="F422" s="103" t="n"/>
      <c r="G422" s="103" t="n"/>
      <c r="H422" s="103" t="n"/>
      <c r="I422" s="103" t="n"/>
      <c r="J422" s="4" t="n"/>
      <c r="K422" s="19" t="n"/>
      <c r="L422" s="19" t="n"/>
      <c r="M422" s="19" t="n"/>
      <c r="N422" s="2" t="n"/>
      <c r="O422" s="2" t="n"/>
      <c r="P422" s="2" t="n"/>
      <c r="Q422" s="2" t="n"/>
      <c r="R422" s="28" t="n"/>
      <c r="S422" s="28" t="n"/>
      <c r="T422" s="32" t="n"/>
    </row>
    <row r="423" ht="30" customFormat="1" customHeight="1" s="5">
      <c r="A423" s="17" t="n"/>
      <c r="B423" s="17" t="n"/>
      <c r="C423" s="2" t="n"/>
      <c r="D423" s="14" t="n"/>
      <c r="E423" s="37" t="n"/>
      <c r="F423" s="103" t="n"/>
      <c r="G423" s="103" t="n"/>
      <c r="H423" s="103" t="n"/>
      <c r="I423" s="103" t="n"/>
      <c r="J423" s="4" t="n"/>
      <c r="K423" s="19" t="n"/>
      <c r="L423" s="19" t="n"/>
      <c r="M423" s="19" t="n"/>
      <c r="N423" s="2" t="n"/>
      <c r="O423" s="2" t="n"/>
      <c r="P423" s="2" t="n"/>
      <c r="Q423" s="2" t="n"/>
      <c r="R423" s="28" t="n"/>
      <c r="S423" s="28" t="n"/>
      <c r="T423" s="32" t="n"/>
    </row>
    <row r="424" ht="30" customFormat="1" customHeight="1" s="5">
      <c r="A424" s="17" t="n"/>
      <c r="B424" s="17" t="n"/>
      <c r="C424" s="2" t="n"/>
      <c r="D424" s="14" t="n"/>
      <c r="E424" s="37" t="n"/>
      <c r="F424" s="103" t="n"/>
      <c r="G424" s="103" t="n"/>
      <c r="H424" s="103" t="n"/>
      <c r="I424" s="103" t="n"/>
      <c r="J424" s="4" t="n"/>
      <c r="K424" s="19" t="n"/>
      <c r="L424" s="19" t="n"/>
      <c r="M424" s="19" t="n"/>
      <c r="N424" s="2" t="n"/>
      <c r="O424" s="2" t="n"/>
      <c r="P424" s="2" t="n"/>
      <c r="Q424" s="2" t="n"/>
      <c r="R424" s="28" t="n"/>
      <c r="S424" s="28" t="n"/>
      <c r="T424" s="32" t="n"/>
    </row>
    <row r="425" ht="30" customFormat="1" customHeight="1" s="5">
      <c r="A425" s="17" t="n"/>
      <c r="B425" s="17" t="n"/>
      <c r="C425" s="2" t="n"/>
      <c r="D425" s="14" t="n"/>
      <c r="E425" s="37" t="n"/>
      <c r="F425" s="103" t="n"/>
      <c r="G425" s="103" t="n"/>
      <c r="H425" s="103" t="n"/>
      <c r="I425" s="103" t="n"/>
      <c r="J425" s="4" t="n"/>
      <c r="K425" s="19" t="n"/>
      <c r="L425" s="19" t="n"/>
      <c r="M425" s="19" t="n"/>
      <c r="N425" s="2" t="n"/>
      <c r="O425" s="2" t="n"/>
      <c r="P425" s="2" t="n"/>
      <c r="Q425" s="2" t="n"/>
      <c r="R425" s="28" t="n"/>
      <c r="S425" s="28" t="n"/>
      <c r="T425" s="32" t="n"/>
    </row>
    <row r="426" ht="30" customFormat="1" customHeight="1" s="5">
      <c r="A426" s="17" t="n"/>
      <c r="B426" s="17" t="n"/>
      <c r="C426" s="2" t="n"/>
      <c r="D426" s="14" t="n"/>
      <c r="E426" s="37" t="n"/>
      <c r="F426" s="103" t="n"/>
      <c r="G426" s="103" t="n"/>
      <c r="H426" s="103" t="n"/>
      <c r="I426" s="103" t="n"/>
      <c r="J426" s="4" t="n"/>
      <c r="K426" s="19" t="n"/>
      <c r="L426" s="19" t="n"/>
      <c r="M426" s="19" t="n"/>
      <c r="N426" s="2" t="n"/>
      <c r="O426" s="2" t="n"/>
      <c r="P426" s="2" t="n"/>
      <c r="Q426" s="2" t="n"/>
      <c r="R426" s="28" t="n"/>
      <c r="S426" s="28" t="n"/>
      <c r="T426" s="32" t="n"/>
    </row>
    <row r="427" ht="30" customFormat="1" customHeight="1" s="5">
      <c r="A427" s="17" t="n"/>
      <c r="B427" s="17" t="n"/>
      <c r="C427" s="2" t="n"/>
      <c r="D427" s="14" t="n"/>
      <c r="E427" s="37" t="n"/>
      <c r="F427" s="103" t="n"/>
      <c r="G427" s="103" t="n"/>
      <c r="H427" s="103" t="n"/>
      <c r="I427" s="103" t="n"/>
      <c r="J427" s="4" t="n"/>
      <c r="K427" s="19" t="n"/>
      <c r="L427" s="19" t="n"/>
      <c r="M427" s="19" t="n"/>
      <c r="N427" s="2" t="n"/>
      <c r="O427" s="2" t="n"/>
      <c r="P427" s="2" t="n"/>
      <c r="Q427" s="2" t="n"/>
      <c r="R427" s="28" t="n"/>
      <c r="S427" s="28" t="n"/>
      <c r="T427" s="32" t="n"/>
    </row>
    <row r="428" ht="30" customFormat="1" customHeight="1" s="5">
      <c r="A428" s="17" t="n"/>
      <c r="B428" s="17" t="n"/>
      <c r="C428" s="2" t="n"/>
      <c r="D428" s="14" t="n"/>
      <c r="E428" s="37" t="n"/>
      <c r="F428" s="103" t="n"/>
      <c r="G428" s="103" t="n"/>
      <c r="H428" s="103" t="n"/>
      <c r="I428" s="103" t="n"/>
      <c r="J428" s="4" t="n"/>
      <c r="K428" s="19" t="n"/>
      <c r="L428" s="19" t="n"/>
      <c r="M428" s="19" t="n"/>
      <c r="N428" s="2" t="n"/>
      <c r="O428" s="2" t="n"/>
      <c r="P428" s="2" t="n"/>
      <c r="Q428" s="2" t="n"/>
      <c r="R428" s="28" t="n"/>
      <c r="S428" s="28" t="n"/>
      <c r="T428" s="32" t="n"/>
    </row>
    <row r="429" ht="30" customFormat="1" customHeight="1" s="5">
      <c r="A429" s="17" t="n"/>
      <c r="B429" s="17" t="n"/>
      <c r="C429" s="2" t="n"/>
      <c r="D429" s="14" t="n"/>
      <c r="E429" s="37" t="n"/>
      <c r="F429" s="103" t="n"/>
      <c r="G429" s="103" t="n"/>
      <c r="H429" s="103" t="n"/>
      <c r="I429" s="103" t="n"/>
      <c r="J429" s="4" t="n"/>
      <c r="K429" s="19" t="n"/>
      <c r="L429" s="19" t="n"/>
      <c r="M429" s="19" t="n"/>
      <c r="N429" s="2" t="n"/>
      <c r="O429" s="2" t="n"/>
      <c r="P429" s="2" t="n"/>
      <c r="Q429" s="2" t="n"/>
      <c r="R429" s="28" t="n"/>
      <c r="S429" s="28" t="n"/>
      <c r="T429" s="32" t="n"/>
    </row>
    <row r="430" ht="30" customFormat="1" customHeight="1" s="5">
      <c r="A430" s="17" t="n"/>
      <c r="B430" s="17" t="n"/>
      <c r="C430" s="2" t="n"/>
      <c r="D430" s="14" t="n"/>
      <c r="E430" s="37" t="n"/>
      <c r="F430" s="103" t="n"/>
      <c r="G430" s="103" t="n"/>
      <c r="H430" s="103" t="n"/>
      <c r="I430" s="103" t="n"/>
      <c r="J430" s="4" t="n"/>
      <c r="K430" s="19" t="n"/>
      <c r="L430" s="19" t="n"/>
      <c r="M430" s="19" t="n"/>
      <c r="N430" s="2" t="n"/>
      <c r="O430" s="2" t="n"/>
      <c r="P430" s="2" t="n"/>
      <c r="Q430" s="2" t="n"/>
      <c r="R430" s="28" t="n"/>
      <c r="S430" s="28" t="n"/>
      <c r="T430" s="32" t="n"/>
    </row>
    <row r="431" ht="30" customFormat="1" customHeight="1" s="5">
      <c r="A431" s="17" t="n"/>
      <c r="B431" s="17" t="n"/>
      <c r="C431" s="2" t="n"/>
      <c r="D431" s="14" t="n"/>
      <c r="E431" s="37" t="n"/>
      <c r="F431" s="103" t="n"/>
      <c r="G431" s="103" t="n"/>
      <c r="H431" s="103" t="n"/>
      <c r="I431" s="103" t="n"/>
      <c r="J431" s="4" t="n"/>
      <c r="K431" s="19" t="n"/>
      <c r="L431" s="19" t="n"/>
      <c r="M431" s="19" t="n"/>
      <c r="N431" s="2" t="n"/>
      <c r="O431" s="2" t="n"/>
      <c r="P431" s="2" t="n"/>
      <c r="Q431" s="2" t="n"/>
      <c r="R431" s="28" t="n"/>
      <c r="S431" s="28" t="n"/>
      <c r="T431" s="32" t="n"/>
    </row>
    <row r="432" ht="30" customFormat="1" customHeight="1" s="5">
      <c r="A432" s="17" t="n"/>
      <c r="B432" s="17" t="n"/>
      <c r="C432" s="2" t="n"/>
      <c r="D432" s="14" t="n"/>
      <c r="E432" s="37" t="n"/>
      <c r="F432" s="103" t="n"/>
      <c r="G432" s="103" t="n"/>
      <c r="H432" s="103" t="n"/>
      <c r="I432" s="103" t="n"/>
      <c r="J432" s="4" t="n"/>
      <c r="K432" s="19" t="n"/>
      <c r="L432" s="19" t="n"/>
      <c r="M432" s="19" t="n"/>
      <c r="N432" s="2" t="n"/>
      <c r="O432" s="2" t="n"/>
      <c r="P432" s="2" t="n"/>
      <c r="Q432" s="2" t="n"/>
      <c r="R432" s="28" t="n"/>
      <c r="S432" s="28" t="n"/>
      <c r="T432" s="32" t="n"/>
    </row>
    <row r="433" ht="30" customFormat="1" customHeight="1" s="5">
      <c r="A433" s="17" t="n"/>
      <c r="B433" s="17" t="n"/>
      <c r="C433" s="2" t="n"/>
      <c r="D433" s="14" t="n"/>
      <c r="E433" s="37" t="n"/>
      <c r="F433" s="103" t="n"/>
      <c r="G433" s="103" t="n"/>
      <c r="H433" s="103" t="n"/>
      <c r="I433" s="103" t="n"/>
      <c r="J433" s="4" t="n"/>
      <c r="K433" s="19" t="n"/>
      <c r="L433" s="19" t="n"/>
      <c r="M433" s="19" t="n"/>
      <c r="N433" s="2" t="n"/>
      <c r="O433" s="2" t="n"/>
      <c r="P433" s="2" t="n"/>
      <c r="Q433" s="2" t="n"/>
      <c r="R433" s="28" t="n"/>
      <c r="S433" s="28" t="n"/>
      <c r="T433" s="32" t="n"/>
    </row>
  </sheetData>
  <conditionalFormatting sqref="A3:Q434">
    <cfRule type="expression" priority="1" dxfId="1">
      <formula>$N3="Calibrated"</formula>
    </cfRule>
  </conditionalFormatting>
  <conditionalFormatting sqref="C1:C2 C435:C1048576 E1 G1 I1 K1 M1 O1 Q1 S1">
    <cfRule type="duplicateValues" priority="3" dxfId="0"/>
  </conditionalFormatting>
  <conditionalFormatting sqref="C1:C1048576 E1 G1 I1 K1 M1:M1048576 O1 Q1 S1">
    <cfRule type="duplicateValues" priority="4" dxfId="0"/>
  </conditionalFormatting>
  <conditionalFormatting sqref="M2 M435:M1048576">
    <cfRule type="duplicateValues" priority="2" dxfId="0"/>
  </conditionalFormatting>
  <pageMargins left="0.25" right="0.01197916666666667" top="0.75" bottom="0.75" header="0.3" footer="0.3"/>
  <pageSetup orientation="landscape" paperSize="9" scale="41" fitToHeight="0"/>
  <headerFooter>
    <oddHeader/>
    <oddFooter>&amp;C&amp;"Calibri"&amp;10 &amp;K008000_x000d_# NOMAC | Public</oddFooter>
    <evenHeader/>
    <evenFooter/>
    <firstHeader/>
    <firstFooter/>
  </headerFooter>
  <rowBreaks count="1" manualBreakCount="1">
    <brk id="377" min="0" max="16383" man="1"/>
  </rowBreaks>
</worksheet>
</file>

<file path=xl/worksheets/sheet8.xml><?xml version="1.0" encoding="utf-8"?>
<worksheet xmlns="http://schemas.openxmlformats.org/spreadsheetml/2006/main">
  <sheetPr codeName="Sheet1">
    <outlinePr summaryBelow="1" summaryRight="1"/>
    <pageSetUpPr fitToPage="1"/>
  </sheetPr>
  <dimension ref="A1:T331"/>
  <sheetViews>
    <sheetView view="pageBreakPreview" zoomScale="85" zoomScaleNormal="115" zoomScaleSheetLayoutView="85" zoomScalePageLayoutView="70" workbookViewId="0">
      <selection activeCell="A11" sqref="A11"/>
    </sheetView>
  </sheetViews>
  <sheetFormatPr baseColWidth="8" defaultRowHeight="15"/>
  <cols>
    <col width="6.7109375" customWidth="1" min="1" max="1"/>
    <col width="20.7109375" customWidth="1" style="34" min="2" max="2"/>
    <col width="47.140625" bestFit="1" customWidth="1" style="35" min="3" max="3"/>
    <col width="12.7109375" customWidth="1" style="36" min="4" max="8"/>
    <col width="12.7109375" customWidth="1" style="35" min="9" max="9"/>
    <col width="16.5703125" bestFit="1" customWidth="1" style="36" min="10" max="10"/>
    <col width="12.7109375" customWidth="1" style="36" min="11" max="11"/>
    <col width="12.7109375" customWidth="1" style="35" min="12" max="13"/>
    <col width="12.7109375" customWidth="1" min="14" max="14"/>
    <col width="8.7109375" customWidth="1" min="15" max="15"/>
    <col width="8.7109375" customWidth="1" style="36" min="16" max="16"/>
    <col width="20.7109375" customWidth="1" style="36" min="17" max="17"/>
    <col width="53.7109375" customWidth="1" style="35" min="18" max="18"/>
    <col hidden="1" width="18.7109375" customWidth="1" min="19" max="19"/>
    <col hidden="1" width="13" customWidth="1" min="20" max="20"/>
  </cols>
  <sheetData>
    <row r="1" ht="47.25" customHeight="1">
      <c r="A1" s="7" t="inlineStr">
        <is>
          <t>No</t>
        </is>
      </c>
      <c r="B1" s="23" t="inlineStr">
        <is>
          <t>Functional
Location</t>
        </is>
      </c>
      <c r="C1" s="9" t="inlineStr">
        <is>
          <t>Description</t>
        </is>
      </c>
      <c r="D1" s="10" t="inlineStr">
        <is>
          <t>Calibration
Date</t>
        </is>
      </c>
      <c r="E1" s="10" t="inlineStr">
        <is>
          <t>Sensor
LRV</t>
        </is>
      </c>
      <c r="F1" s="10" t="inlineStr">
        <is>
          <t>Sensor
URV</t>
        </is>
      </c>
      <c r="G1" s="10" t="inlineStr">
        <is>
          <t>Calibrated
LRV</t>
        </is>
      </c>
      <c r="H1" s="10" t="inlineStr">
        <is>
          <t>Calibrated
URV</t>
        </is>
      </c>
      <c r="I1" s="10" t="inlineStr">
        <is>
          <t>Unit</t>
        </is>
      </c>
      <c r="J1" s="10" t="inlineStr">
        <is>
          <t>Customer</t>
        </is>
      </c>
      <c r="K1" s="10" t="inlineStr">
        <is>
          <t>Sensor Model</t>
        </is>
      </c>
      <c r="L1" s="10" t="inlineStr">
        <is>
          <t>Tx
Serial No.</t>
        </is>
      </c>
      <c r="M1" s="11" t="inlineStr">
        <is>
          <t>Tx
Status</t>
        </is>
      </c>
      <c r="N1" s="12" t="inlineStr">
        <is>
          <t>SAP Ekipman Kodu</t>
        </is>
      </c>
      <c r="O1" s="6" t="inlineStr">
        <is>
          <t>Order Type</t>
        </is>
      </c>
      <c r="P1" s="11" t="inlineStr">
        <is>
          <t>SAP
Status</t>
        </is>
      </c>
      <c r="Q1" s="24" t="inlineStr">
        <is>
          <t>Panel KKS</t>
        </is>
      </c>
      <c r="R1" s="13" t="inlineStr">
        <is>
          <t>Comments</t>
        </is>
      </c>
    </row>
    <row r="2" ht="30" customFormat="1" customHeight="1" s="5">
      <c r="A2" s="17" t="n">
        <v>1</v>
      </c>
      <c r="B2" s="14" t="inlineStr">
        <is>
          <t>KIPP12MBV21CP001</t>
        </is>
      </c>
      <c r="C2" s="14" t="n"/>
      <c r="D2" s="37" t="n"/>
      <c r="E2" s="3" t="n">
        <v>-1.013</v>
      </c>
      <c r="F2" s="3" t="n">
        <v>10.342</v>
      </c>
      <c r="G2" s="3" t="n">
        <v>0</v>
      </c>
      <c r="H2" s="3" t="n">
        <v>10</v>
      </c>
      <c r="I2" s="4" t="inlineStr">
        <is>
          <t>Bar</t>
        </is>
      </c>
      <c r="J2" s="19" t="inlineStr">
        <is>
          <t>ROSEMOUNT</t>
        </is>
      </c>
      <c r="K2" s="19" t="inlineStr">
        <is>
          <t>2088 PT</t>
        </is>
      </c>
      <c r="L2" s="19" t="n">
        <v>9791825</v>
      </c>
      <c r="M2" s="2" t="inlineStr">
        <is>
          <t>Waiting</t>
        </is>
      </c>
      <c r="N2" s="2" t="n"/>
      <c r="O2" s="2" t="n"/>
      <c r="P2" s="2" t="n"/>
      <c r="Q2" s="28" t="n"/>
      <c r="R2" s="29" t="inlineStr">
        <is>
          <t>Out of SAP list</t>
        </is>
      </c>
      <c r="S2" s="5" t="inlineStr">
        <is>
          <t>KIPP00GHC10CP101</t>
        </is>
      </c>
      <c r="T2" s="5">
        <f>LEFT(B2,7)</f>
        <v/>
      </c>
    </row>
    <row r="3" ht="30" customFormat="1" customHeight="1" s="5">
      <c r="A3" s="17" t="n">
        <v>2</v>
      </c>
      <c r="B3" s="14" t="inlineStr">
        <is>
          <t>KIPP12MBV21CP002</t>
        </is>
      </c>
      <c r="C3" s="14" t="n"/>
      <c r="D3" s="37" t="n"/>
      <c r="E3" s="3" t="n">
        <v>-1.013</v>
      </c>
      <c r="F3" s="3" t="n">
        <v>10.342</v>
      </c>
      <c r="G3" s="3" t="n">
        <v>0</v>
      </c>
      <c r="H3" s="3" t="n">
        <v>10</v>
      </c>
      <c r="I3" s="4" t="inlineStr">
        <is>
          <t>Bar</t>
        </is>
      </c>
      <c r="J3" s="19" t="inlineStr">
        <is>
          <t>ROSEMOUNT</t>
        </is>
      </c>
      <c r="K3" s="19" t="inlineStr">
        <is>
          <t>2088 PT</t>
        </is>
      </c>
      <c r="L3" s="19" t="n">
        <v>9791826</v>
      </c>
      <c r="M3" s="2" t="inlineStr">
        <is>
          <t>Waiting</t>
        </is>
      </c>
      <c r="N3" s="2" t="n"/>
      <c r="O3" s="2" t="n"/>
      <c r="P3" s="2" t="n"/>
      <c r="Q3" s="28" t="n"/>
      <c r="R3" s="29" t="inlineStr">
        <is>
          <t>Out of SAP list</t>
        </is>
      </c>
      <c r="S3" s="5" t="inlineStr">
        <is>
          <t>KIPP00GHC10CP102</t>
        </is>
      </c>
      <c r="T3" s="5">
        <f>LEFT(B3,7)</f>
        <v/>
      </c>
    </row>
    <row r="4" ht="30" customFormat="1" customHeight="1" s="5">
      <c r="A4" s="17" t="n">
        <v>3</v>
      </c>
      <c r="B4" s="14" t="inlineStr">
        <is>
          <t>KIPP12MBL61CP010</t>
        </is>
      </c>
      <c r="C4" s="14" t="n"/>
      <c r="D4" s="37" t="n"/>
      <c r="E4" s="3" t="n">
        <v>-6216</v>
      </c>
      <c r="F4" s="3" t="n">
        <v>6216</v>
      </c>
      <c r="G4" s="3" t="n">
        <v>0</v>
      </c>
      <c r="H4" s="3" t="n">
        <v>1000</v>
      </c>
      <c r="I4" s="4" t="inlineStr">
        <is>
          <t>Pa</t>
        </is>
      </c>
      <c r="J4" s="19" t="inlineStr">
        <is>
          <t>ROSEMOUNT</t>
        </is>
      </c>
      <c r="K4" s="19" t="inlineStr">
        <is>
          <t>3051 PT</t>
        </is>
      </c>
      <c r="L4" s="19" t="n">
        <v>9852955</v>
      </c>
      <c r="M4" s="2" t="inlineStr">
        <is>
          <t>Waiting</t>
        </is>
      </c>
      <c r="N4" s="2" t="n"/>
      <c r="O4" s="2" t="n"/>
      <c r="P4" s="2" t="n"/>
      <c r="Q4" s="28" t="n"/>
      <c r="R4" s="29" t="inlineStr">
        <is>
          <t>Out of SAP list</t>
        </is>
      </c>
      <c r="S4" s="5" t="inlineStr">
        <is>
          <t>KIPP10LAA00CP101</t>
        </is>
      </c>
      <c r="T4" s="5">
        <f>LEFT(B4,7)</f>
        <v/>
      </c>
    </row>
    <row r="5" ht="30" customFormat="1" customHeight="1" s="5">
      <c r="A5" s="17" t="n">
        <v>4</v>
      </c>
      <c r="B5" s="14" t="inlineStr">
        <is>
          <t>KIPP10LCA10CF102</t>
        </is>
      </c>
      <c r="C5" s="14" t="inlineStr">
        <is>
          <t>CONDENSATE EXTRACTION PUMP DISCHARGE FT</t>
        </is>
      </c>
      <c r="D5" s="37" t="n"/>
      <c r="E5" s="3" t="n">
        <v>-10197.2</v>
      </c>
      <c r="F5" s="3" t="n">
        <v>10197.2</v>
      </c>
      <c r="G5" s="3" t="n">
        <v>0</v>
      </c>
      <c r="H5" s="3" t="n">
        <v>10000</v>
      </c>
      <c r="I5" s="4" t="inlineStr">
        <is>
          <t>mmH2O</t>
        </is>
      </c>
      <c r="J5" s="19" t="inlineStr">
        <is>
          <t>YOKOGAWA</t>
        </is>
      </c>
      <c r="K5" s="19" t="inlineStr">
        <is>
          <t>EJA110E</t>
        </is>
      </c>
      <c r="L5" s="19" t="inlineStr">
        <is>
          <t>91S313101</t>
        </is>
      </c>
      <c r="M5" s="2" t="inlineStr">
        <is>
          <t>Waiting</t>
        </is>
      </c>
      <c r="N5" s="2" t="n"/>
      <c r="O5" s="2" t="n"/>
      <c r="P5" s="2" t="n"/>
      <c r="Q5" s="28" t="n"/>
      <c r="R5" s="29" t="inlineStr">
        <is>
          <t>Out of SAP list</t>
        </is>
      </c>
      <c r="S5" s="5" t="inlineStr">
        <is>
          <t>KIPP10LAA00CP102</t>
        </is>
      </c>
      <c r="T5" s="5">
        <f>LEFT(B5,7)</f>
        <v/>
      </c>
    </row>
    <row r="6" ht="30" customFormat="1" customHeight="1" s="5">
      <c r="A6" s="17" t="n">
        <v>5</v>
      </c>
      <c r="B6" s="14" t="inlineStr">
        <is>
          <t>KIPP10LCA01CP101</t>
        </is>
      </c>
      <c r="C6" s="14" t="inlineStr">
        <is>
          <t>CEP-A SUC. Filter PRESS.</t>
        </is>
      </c>
      <c r="D6" s="37" t="n">
        <v>43877</v>
      </c>
      <c r="E6" s="3" t="n">
        <v>-5000</v>
      </c>
      <c r="F6" s="3" t="n">
        <v>5000</v>
      </c>
      <c r="G6" s="3" t="n">
        <v>0</v>
      </c>
      <c r="H6" s="3" t="n">
        <v>500</v>
      </c>
      <c r="I6" s="4" t="inlineStr">
        <is>
          <t>mBar</t>
        </is>
      </c>
      <c r="J6" s="19" t="inlineStr">
        <is>
          <t>YOKOGAWA</t>
        </is>
      </c>
      <c r="K6" s="19" t="inlineStr">
        <is>
          <t>EJA110E</t>
        </is>
      </c>
      <c r="L6" s="19" t="inlineStr">
        <is>
          <t>91S313075</t>
        </is>
      </c>
      <c r="M6" s="2" t="inlineStr">
        <is>
          <t>Waiting</t>
        </is>
      </c>
      <c r="N6" s="2" t="n"/>
      <c r="O6" s="2" t="n"/>
      <c r="P6" s="2" t="n"/>
      <c r="Q6" s="28" t="n"/>
      <c r="R6" s="29" t="inlineStr">
        <is>
          <t>Out of SAP list</t>
        </is>
      </c>
      <c r="S6" s="5" t="inlineStr">
        <is>
          <t>KIPP10LAA00CP103</t>
        </is>
      </c>
      <c r="T6" s="5">
        <f>LEFT(B6,7)</f>
        <v/>
      </c>
    </row>
    <row r="7" ht="30" customFormat="1" customHeight="1" s="5">
      <c r="A7" s="17" t="n">
        <v>6</v>
      </c>
      <c r="B7" s="14" t="inlineStr">
        <is>
          <t>KIPP10LCA02CP101</t>
        </is>
      </c>
      <c r="C7" s="14" t="inlineStr">
        <is>
          <t>CEP-B SUC. Filter PRESS.</t>
        </is>
      </c>
      <c r="D7" s="37" t="n">
        <v>43877</v>
      </c>
      <c r="E7" s="3" t="n">
        <v>-5000</v>
      </c>
      <c r="F7" s="3" t="n">
        <v>5000</v>
      </c>
      <c r="G7" s="3" t="n">
        <v>0</v>
      </c>
      <c r="H7" s="3" t="n">
        <v>500</v>
      </c>
      <c r="I7" s="4" t="inlineStr">
        <is>
          <t>mBar</t>
        </is>
      </c>
      <c r="J7" s="19" t="inlineStr">
        <is>
          <t>YOKOGAWA</t>
        </is>
      </c>
      <c r="K7" s="19" t="inlineStr">
        <is>
          <t>EJA110E</t>
        </is>
      </c>
      <c r="L7" s="19" t="inlineStr">
        <is>
          <t>91S313076</t>
        </is>
      </c>
      <c r="M7" s="2" t="inlineStr">
        <is>
          <t>Waiting</t>
        </is>
      </c>
      <c r="N7" s="2" t="n"/>
      <c r="O7" s="2" t="n"/>
      <c r="P7" s="2" t="n"/>
      <c r="Q7" s="28" t="n"/>
      <c r="R7" s="29" t="inlineStr">
        <is>
          <t>Out of SAP list</t>
        </is>
      </c>
      <c r="S7" s="5" t="inlineStr">
        <is>
          <t>KIPP10LAB01CP102</t>
        </is>
      </c>
      <c r="T7" s="5">
        <f>LEFT(B7,7)</f>
        <v/>
      </c>
    </row>
    <row r="8" ht="30" customFormat="1" customHeight="1" s="5">
      <c r="A8" s="17" t="n">
        <v>7</v>
      </c>
      <c r="B8" s="14" t="inlineStr">
        <is>
          <t>KIPP10LCA03CP101</t>
        </is>
      </c>
      <c r="C8" s="14" t="inlineStr">
        <is>
          <t>CEP-C SUC. Filter PRESS.</t>
        </is>
      </c>
      <c r="D8" s="37" t="n">
        <v>43877</v>
      </c>
      <c r="E8" s="3" t="n">
        <v>-5000</v>
      </c>
      <c r="F8" s="3" t="n">
        <v>5000</v>
      </c>
      <c r="G8" s="3" t="n">
        <v>0</v>
      </c>
      <c r="H8" s="3" t="n">
        <v>500</v>
      </c>
      <c r="I8" s="4" t="inlineStr">
        <is>
          <t>mBar</t>
        </is>
      </c>
      <c r="J8" s="19" t="inlineStr">
        <is>
          <t>YOKOGAWA</t>
        </is>
      </c>
      <c r="K8" s="19" t="inlineStr">
        <is>
          <t>EJA110E</t>
        </is>
      </c>
      <c r="L8" s="19" t="inlineStr">
        <is>
          <t>91S313077</t>
        </is>
      </c>
      <c r="M8" s="2" t="inlineStr">
        <is>
          <t>Waiting</t>
        </is>
      </c>
      <c r="N8" s="2" t="n"/>
      <c r="O8" s="2" t="n"/>
      <c r="P8" s="2" t="n"/>
      <c r="Q8" s="28" t="n"/>
      <c r="R8" s="29" t="inlineStr">
        <is>
          <t>Out of SAP list</t>
        </is>
      </c>
      <c r="S8" s="5" t="inlineStr">
        <is>
          <t>KIPP10LAB02CP102</t>
        </is>
      </c>
      <c r="T8" s="5">
        <f>LEFT(B8,7)</f>
        <v/>
      </c>
    </row>
    <row r="9" ht="30" customFormat="1" customHeight="1" s="5">
      <c r="A9" s="17" t="n">
        <v>8</v>
      </c>
      <c r="B9" s="14" t="inlineStr">
        <is>
          <t>11HAC58CP001</t>
        </is>
      </c>
      <c r="C9" s="14" t="inlineStr">
        <is>
          <t>HP DRUM FW PT</t>
        </is>
      </c>
      <c r="D9" s="37" t="n"/>
      <c r="E9" s="3" t="n">
        <v>0</v>
      </c>
      <c r="F9" s="3" t="n">
        <v>689.5</v>
      </c>
      <c r="G9" s="3" t="n">
        <v>0</v>
      </c>
      <c r="H9" s="3" t="n">
        <v>300</v>
      </c>
      <c r="I9" s="4" t="inlineStr">
        <is>
          <t>Bar</t>
        </is>
      </c>
      <c r="J9" s="19" t="inlineStr">
        <is>
          <t>ROSEMOUNT</t>
        </is>
      </c>
      <c r="K9" s="19" t="inlineStr">
        <is>
          <t>2051 PT</t>
        </is>
      </c>
      <c r="L9" s="19" t="n">
        <v>210420</v>
      </c>
      <c r="M9" s="2" t="inlineStr">
        <is>
          <t>Waiting</t>
        </is>
      </c>
      <c r="N9" s="2" t="n"/>
      <c r="O9" s="2" t="n"/>
      <c r="P9" s="2" t="n"/>
      <c r="Q9" s="28" t="n"/>
      <c r="R9" s="29" t="inlineStr">
        <is>
          <t>Out of SAP list</t>
        </is>
      </c>
      <c r="S9" s="5" t="inlineStr">
        <is>
          <t>KIPP10LAB03CP102</t>
        </is>
      </c>
      <c r="T9" s="5">
        <f>LEFT(B9,7)</f>
        <v/>
      </c>
    </row>
    <row r="10" ht="30" customFormat="1" customHeight="1" s="5">
      <c r="A10" s="17" t="n">
        <v>9</v>
      </c>
      <c r="B10" s="14" t="inlineStr">
        <is>
          <t>11HAC58CF002</t>
        </is>
      </c>
      <c r="C10" s="14" t="inlineStr">
        <is>
          <t>HP DRUM FW FLOW A</t>
        </is>
      </c>
      <c r="D10" s="37" t="n"/>
      <c r="E10" s="3" t="n">
        <v>-621.6</v>
      </c>
      <c r="F10" s="3" t="n">
        <v>621.6</v>
      </c>
      <c r="G10" s="3" t="n">
        <v>0</v>
      </c>
      <c r="H10" s="3" t="n">
        <v>302</v>
      </c>
      <c r="I10" s="4" t="inlineStr">
        <is>
          <t>mBar</t>
        </is>
      </c>
      <c r="J10" s="19" t="inlineStr">
        <is>
          <t>ROSEMOUNT</t>
        </is>
      </c>
      <c r="K10" s="19" t="inlineStr">
        <is>
          <t>2051 PT</t>
        </is>
      </c>
      <c r="L10" s="19" t="n">
        <v>214452</v>
      </c>
      <c r="M10" s="2" t="inlineStr">
        <is>
          <t>Waiting</t>
        </is>
      </c>
      <c r="N10" s="2" t="n"/>
      <c r="O10" s="2" t="n"/>
      <c r="P10" s="2" t="n"/>
      <c r="Q10" s="28" t="n"/>
      <c r="R10" s="29" t="inlineStr">
        <is>
          <t>Out of SAP list</t>
        </is>
      </c>
      <c r="S10" s="5" t="inlineStr">
        <is>
          <t>KIPP10LAB06CP102</t>
        </is>
      </c>
      <c r="T10" s="5">
        <f>LEFT(B10,7)</f>
        <v/>
      </c>
    </row>
    <row r="11" ht="30" customFormat="1" customHeight="1" s="5">
      <c r="A11" s="17" t="n">
        <v>10</v>
      </c>
      <c r="B11" s="14" t="inlineStr">
        <is>
          <t>11HAC58CF003</t>
        </is>
      </c>
      <c r="C11" s="14" t="inlineStr">
        <is>
          <t>HP DRUM FW FLOW B</t>
        </is>
      </c>
      <c r="D11" s="37" t="n"/>
      <c r="E11" s="3" t="n">
        <v>-621.6</v>
      </c>
      <c r="F11" s="3" t="n">
        <v>621.6</v>
      </c>
      <c r="G11" s="3" t="n">
        <v>0</v>
      </c>
      <c r="H11" s="3" t="n">
        <v>302</v>
      </c>
      <c r="I11" s="4" t="inlineStr">
        <is>
          <t>mBar</t>
        </is>
      </c>
      <c r="J11" s="19" t="inlineStr">
        <is>
          <t>ROSEMOUNT</t>
        </is>
      </c>
      <c r="K11" s="19" t="inlineStr">
        <is>
          <t>2051 PT</t>
        </is>
      </c>
      <c r="L11" s="19" t="n">
        <v>214453</v>
      </c>
      <c r="M11" s="2" t="inlineStr">
        <is>
          <t>Waiting</t>
        </is>
      </c>
      <c r="N11" s="2" t="n"/>
      <c r="O11" s="2" t="n"/>
      <c r="P11" s="2" t="n"/>
      <c r="Q11" s="28" t="n"/>
      <c r="R11" s="29" t="inlineStr">
        <is>
          <t>Out of SAP list</t>
        </is>
      </c>
      <c r="S11" s="5" t="inlineStr">
        <is>
          <t>KIPP10LAB07CP102</t>
        </is>
      </c>
      <c r="T11" s="5">
        <f>LEFT(B11,7)</f>
        <v/>
      </c>
    </row>
    <row r="12" ht="30" customFormat="1" customHeight="1" s="5">
      <c r="A12" s="17" t="n">
        <v>11</v>
      </c>
      <c r="B12" s="14" t="n"/>
      <c r="C12" s="14" t="n"/>
      <c r="D12" s="37" t="n"/>
      <c r="E12" s="3" t="n"/>
      <c r="F12" s="3" t="n"/>
      <c r="G12" s="3" t="n"/>
      <c r="H12" s="3" t="n"/>
      <c r="I12" s="4" t="n"/>
      <c r="J12" s="19" t="n"/>
      <c r="K12" s="19" t="n"/>
      <c r="L12" s="19" t="n"/>
      <c r="M12" s="2" t="inlineStr">
        <is>
          <t>Waiting</t>
        </is>
      </c>
      <c r="N12" s="2" t="n"/>
      <c r="O12" s="2" t="n"/>
      <c r="P12" s="2" t="n"/>
      <c r="Q12" s="28" t="n"/>
      <c r="R12" s="29" t="n"/>
      <c r="S12" s="5" t="inlineStr">
        <is>
          <t>KIPP10LAB08CP102</t>
        </is>
      </c>
      <c r="T12" s="5">
        <f>LEFT(B12,7)</f>
        <v/>
      </c>
    </row>
    <row r="13" ht="30" customFormat="1" customHeight="1" s="5">
      <c r="A13" s="17" t="n">
        <v>12</v>
      </c>
      <c r="B13" s="14" t="n"/>
      <c r="C13" s="14" t="n"/>
      <c r="D13" s="37" t="n"/>
      <c r="E13" s="3" t="n"/>
      <c r="F13" s="3" t="n"/>
      <c r="G13" s="3" t="n"/>
      <c r="H13" s="3" t="n"/>
      <c r="I13" s="4" t="n"/>
      <c r="J13" s="19" t="n"/>
      <c r="K13" s="19" t="n"/>
      <c r="L13" s="19" t="n"/>
      <c r="M13" s="2" t="inlineStr">
        <is>
          <t>Waiting</t>
        </is>
      </c>
      <c r="N13" s="2" t="n"/>
      <c r="O13" s="2" t="n"/>
      <c r="P13" s="2" t="n"/>
      <c r="Q13" s="28" t="n"/>
      <c r="R13" s="29" t="n"/>
      <c r="S13" s="5" t="inlineStr">
        <is>
          <t>KIPP10LAB10CP101</t>
        </is>
      </c>
      <c r="T13" s="5">
        <f>LEFT(B13,7)</f>
        <v/>
      </c>
    </row>
    <row r="14" ht="30" customFormat="1" customHeight="1" s="5">
      <c r="A14" s="17" t="n">
        <v>13</v>
      </c>
      <c r="B14" s="14" t="n"/>
      <c r="C14" s="14" t="n"/>
      <c r="D14" s="37" t="n"/>
      <c r="E14" s="3" t="n"/>
      <c r="F14" s="3" t="n"/>
      <c r="G14" s="3" t="n"/>
      <c r="H14" s="3" t="n"/>
      <c r="I14" s="4" t="n"/>
      <c r="J14" s="19" t="n"/>
      <c r="K14" s="19" t="n"/>
      <c r="L14" s="19" t="n"/>
      <c r="M14" s="2" t="inlineStr">
        <is>
          <t>Waiting</t>
        </is>
      </c>
      <c r="N14" s="2" t="n"/>
      <c r="O14" s="2" t="n"/>
      <c r="P14" s="2" t="n"/>
      <c r="Q14" s="28" t="n"/>
      <c r="R14" s="29" t="n"/>
      <c r="S14" s="5" t="inlineStr">
        <is>
          <t>KIPP10LAB10CP102</t>
        </is>
      </c>
      <c r="T14" s="5">
        <f>LEFT(B14,7)</f>
        <v/>
      </c>
    </row>
    <row r="15" ht="30" customFormat="1" customHeight="1" s="5">
      <c r="A15" s="17" t="n">
        <v>14</v>
      </c>
      <c r="B15" s="14" t="n"/>
      <c r="C15" s="14" t="n"/>
      <c r="D15" s="37" t="n"/>
      <c r="E15" s="3" t="n"/>
      <c r="F15" s="3" t="n"/>
      <c r="G15" s="3" t="n"/>
      <c r="H15" s="3" t="n"/>
      <c r="I15" s="4" t="n"/>
      <c r="J15" s="19" t="n"/>
      <c r="K15" s="19" t="n"/>
      <c r="L15" s="19" t="n"/>
      <c r="M15" s="2" t="inlineStr">
        <is>
          <t>Waiting</t>
        </is>
      </c>
      <c r="N15" s="2" t="n"/>
      <c r="O15" s="2" t="n"/>
      <c r="P15" s="2" t="n"/>
      <c r="Q15" s="28" t="n"/>
      <c r="R15" s="29" t="n"/>
      <c r="S15" s="5" t="inlineStr">
        <is>
          <t>KIPP10LAB11CP101</t>
        </is>
      </c>
      <c r="T15" s="5">
        <f>LEFT(B15,7)</f>
        <v/>
      </c>
    </row>
    <row r="16" ht="30" customFormat="1" customHeight="1" s="5">
      <c r="A16" s="17" t="n">
        <v>15</v>
      </c>
      <c r="B16" s="14" t="n"/>
      <c r="C16" s="14" t="n"/>
      <c r="D16" s="37" t="n"/>
      <c r="E16" s="3" t="n"/>
      <c r="F16" s="3" t="n"/>
      <c r="G16" s="3" t="n"/>
      <c r="H16" s="3" t="n"/>
      <c r="I16" s="4" t="n"/>
      <c r="J16" s="19" t="n"/>
      <c r="K16" s="19" t="n"/>
      <c r="L16" s="19" t="n"/>
      <c r="M16" s="2" t="inlineStr">
        <is>
          <t>Waiting</t>
        </is>
      </c>
      <c r="N16" s="2" t="n"/>
      <c r="O16" s="2" t="n"/>
      <c r="P16" s="2" t="n"/>
      <c r="Q16" s="28" t="n"/>
      <c r="R16" s="29" t="n"/>
      <c r="S16" s="5" t="inlineStr">
        <is>
          <t>KIPP10LAB12CP101</t>
        </is>
      </c>
      <c r="T16" s="5">
        <f>LEFT(B16,7)</f>
        <v/>
      </c>
    </row>
    <row r="17" ht="30" customFormat="1" customHeight="1" s="5">
      <c r="A17" s="17" t="n">
        <v>16</v>
      </c>
      <c r="B17" s="14" t="n"/>
      <c r="C17" s="14" t="n"/>
      <c r="D17" s="37" t="n"/>
      <c r="E17" s="3" t="n"/>
      <c r="F17" s="3" t="n"/>
      <c r="G17" s="3" t="n"/>
      <c r="H17" s="3" t="n"/>
      <c r="I17" s="4" t="n"/>
      <c r="J17" s="19" t="n"/>
      <c r="K17" s="19" t="n"/>
      <c r="L17" s="19" t="n"/>
      <c r="M17" s="2" t="inlineStr">
        <is>
          <t>Waiting</t>
        </is>
      </c>
      <c r="N17" s="2" t="n"/>
      <c r="O17" s="2" t="n"/>
      <c r="P17" s="2" t="n"/>
      <c r="Q17" s="28" t="n"/>
      <c r="R17" s="29" t="n"/>
      <c r="S17" s="5" t="inlineStr">
        <is>
          <t>KIPP10LAB13CP101</t>
        </is>
      </c>
      <c r="T17" s="5">
        <f>LEFT(B17,7)</f>
        <v/>
      </c>
    </row>
    <row r="18" ht="30" customFormat="1" customHeight="1" s="5">
      <c r="A18" s="17" t="n">
        <v>17</v>
      </c>
      <c r="B18" s="14" t="n"/>
      <c r="C18" s="14" t="n"/>
      <c r="D18" s="37" t="n"/>
      <c r="E18" s="3" t="n"/>
      <c r="F18" s="3" t="n"/>
      <c r="G18" s="3" t="n"/>
      <c r="H18" s="3" t="n"/>
      <c r="I18" s="4" t="n"/>
      <c r="J18" s="19" t="n"/>
      <c r="K18" s="19" t="n"/>
      <c r="L18" s="19" t="n"/>
      <c r="M18" s="2" t="inlineStr">
        <is>
          <t>Waiting</t>
        </is>
      </c>
      <c r="N18" s="2" t="n"/>
      <c r="O18" s="2" t="n"/>
      <c r="P18" s="2" t="n"/>
      <c r="Q18" s="28" t="n"/>
      <c r="R18" s="29" t="n"/>
      <c r="S18" s="5" t="inlineStr">
        <is>
          <t>KIPP10LAB15CP101</t>
        </is>
      </c>
      <c r="T18" s="5">
        <f>LEFT(B18,7)</f>
        <v/>
      </c>
    </row>
    <row r="19" ht="30" customFormat="1" customHeight="1" s="5">
      <c r="A19" s="17" t="n">
        <v>18</v>
      </c>
      <c r="B19" s="14" t="n"/>
      <c r="C19" s="14" t="n"/>
      <c r="D19" s="37" t="n"/>
      <c r="E19" s="3" t="n"/>
      <c r="F19" s="3" t="n"/>
      <c r="G19" s="3" t="n"/>
      <c r="H19" s="3" t="n"/>
      <c r="I19" s="4" t="n"/>
      <c r="J19" s="19" t="n"/>
      <c r="K19" s="19" t="n"/>
      <c r="L19" s="19" t="n"/>
      <c r="M19" s="2" t="inlineStr">
        <is>
          <t>Waiting</t>
        </is>
      </c>
      <c r="N19" s="2" t="n"/>
      <c r="O19" s="2" t="n"/>
      <c r="P19" s="2" t="n"/>
      <c r="Q19" s="28" t="n"/>
      <c r="R19" s="29" t="n"/>
      <c r="S19" s="5" t="inlineStr">
        <is>
          <t>KIPP10LAB15CP102</t>
        </is>
      </c>
      <c r="T19" s="5">
        <f>LEFT(B19,7)</f>
        <v/>
      </c>
    </row>
    <row r="20" ht="30" customFormat="1" customHeight="1" s="5">
      <c r="A20" s="17" t="n">
        <v>19</v>
      </c>
      <c r="B20" s="14" t="n"/>
      <c r="C20" s="14" t="n"/>
      <c r="D20" s="37" t="n"/>
      <c r="E20" s="3" t="n"/>
      <c r="F20" s="3" t="n"/>
      <c r="G20" s="3" t="n"/>
      <c r="H20" s="3" t="n"/>
      <c r="I20" s="4" t="n"/>
      <c r="J20" s="19" t="n"/>
      <c r="K20" s="19" t="n"/>
      <c r="L20" s="19" t="n"/>
      <c r="M20" s="2" t="inlineStr">
        <is>
          <t>Waiting</t>
        </is>
      </c>
      <c r="N20" s="2" t="n"/>
      <c r="O20" s="2" t="n"/>
      <c r="P20" s="2" t="n"/>
      <c r="Q20" s="28" t="n"/>
      <c r="R20" s="29" t="n"/>
      <c r="S20" s="5" t="inlineStr">
        <is>
          <t>KIPP10LAB16CP101</t>
        </is>
      </c>
      <c r="T20" s="5">
        <f>LEFT(B20,7)</f>
        <v/>
      </c>
    </row>
    <row r="21" ht="30" customFormat="1" customHeight="1" s="5">
      <c r="A21" s="17" t="n">
        <v>20</v>
      </c>
      <c r="B21" s="14" t="n"/>
      <c r="C21" s="14" t="n"/>
      <c r="D21" s="37" t="n"/>
      <c r="E21" s="3" t="n"/>
      <c r="F21" s="3" t="n"/>
      <c r="G21" s="3" t="n"/>
      <c r="H21" s="3" t="n"/>
      <c r="I21" s="4" t="n"/>
      <c r="J21" s="19" t="n"/>
      <c r="K21" s="19" t="n"/>
      <c r="L21" s="19" t="n"/>
      <c r="M21" s="2" t="inlineStr">
        <is>
          <t>Waiting</t>
        </is>
      </c>
      <c r="N21" s="2" t="n"/>
      <c r="O21" s="2" t="n"/>
      <c r="P21" s="2" t="n"/>
      <c r="Q21" s="28" t="n"/>
      <c r="R21" s="29" t="n"/>
      <c r="S21" s="5" t="inlineStr">
        <is>
          <t>KIPP10LAB17CP101</t>
        </is>
      </c>
      <c r="T21" s="5">
        <f>LEFT(B21,7)</f>
        <v/>
      </c>
    </row>
    <row r="22" ht="30" customFormat="1" customHeight="1" s="5">
      <c r="A22" s="17" t="n">
        <v>21</v>
      </c>
      <c r="B22" s="14" t="n"/>
      <c r="C22" s="14" t="n"/>
      <c r="D22" s="37" t="n"/>
      <c r="E22" s="3" t="n"/>
      <c r="F22" s="3" t="n"/>
      <c r="G22" s="3" t="n"/>
      <c r="H22" s="3" t="n"/>
      <c r="I22" s="4" t="n"/>
      <c r="J22" s="19" t="n"/>
      <c r="K22" s="19" t="n"/>
      <c r="L22" s="19" t="n"/>
      <c r="M22" s="2" t="inlineStr">
        <is>
          <t>Waiting</t>
        </is>
      </c>
      <c r="N22" s="2" t="n"/>
      <c r="O22" s="2" t="n"/>
      <c r="P22" s="2" t="n"/>
      <c r="Q22" s="28" t="n"/>
      <c r="R22" s="29" t="n"/>
      <c r="S22" s="5" t="inlineStr">
        <is>
          <t>KIPP10LAB18CP101</t>
        </is>
      </c>
      <c r="T22" s="5">
        <f>LEFT(B22,7)</f>
        <v/>
      </c>
    </row>
    <row r="23" ht="30" customFormat="1" customHeight="1" s="5">
      <c r="A23" s="17" t="n">
        <v>22</v>
      </c>
      <c r="B23" s="14" t="n"/>
      <c r="C23" s="14" t="n"/>
      <c r="D23" s="37" t="n"/>
      <c r="E23" s="3" t="n"/>
      <c r="F23" s="3" t="n"/>
      <c r="G23" s="3" t="n"/>
      <c r="H23" s="3" t="n"/>
      <c r="I23" s="4" t="n"/>
      <c r="J23" s="19" t="n"/>
      <c r="K23" s="19" t="n"/>
      <c r="L23" s="19" t="n"/>
      <c r="M23" s="2" t="inlineStr">
        <is>
          <t>Waiting</t>
        </is>
      </c>
      <c r="N23" s="2" t="n"/>
      <c r="O23" s="2" t="n"/>
      <c r="P23" s="2" t="n"/>
      <c r="Q23" s="28" t="n"/>
      <c r="R23" s="29" t="n"/>
      <c r="S23" s="5" t="inlineStr">
        <is>
          <t>KIPP10LAB30CP101</t>
        </is>
      </c>
      <c r="T23" s="5">
        <f>LEFT(B23,7)</f>
        <v/>
      </c>
    </row>
    <row r="24" ht="30" customFormat="1" customHeight="1" s="5">
      <c r="A24" s="17" t="n">
        <v>23</v>
      </c>
      <c r="B24" s="14" t="n"/>
      <c r="C24" s="14" t="n"/>
      <c r="D24" s="37" t="n"/>
      <c r="E24" s="3" t="n"/>
      <c r="F24" s="3" t="n"/>
      <c r="G24" s="3" t="n"/>
      <c r="H24" s="3" t="n"/>
      <c r="I24" s="4" t="n"/>
      <c r="J24" s="19" t="n"/>
      <c r="K24" s="19" t="n"/>
      <c r="L24" s="19" t="n"/>
      <c r="M24" s="2" t="inlineStr">
        <is>
          <t>Waiting</t>
        </is>
      </c>
      <c r="N24" s="2" t="n"/>
      <c r="O24" s="2" t="n"/>
      <c r="P24" s="2" t="n"/>
      <c r="Q24" s="28" t="n"/>
      <c r="R24" s="29" t="n"/>
      <c r="S24" s="5" t="inlineStr">
        <is>
          <t>KIPP10LAB30CP102</t>
        </is>
      </c>
      <c r="T24" s="5">
        <f>LEFT(B24,7)</f>
        <v/>
      </c>
    </row>
    <row r="25" ht="30" customFormat="1" customHeight="1" s="5">
      <c r="A25" s="17" t="n">
        <v>24</v>
      </c>
      <c r="B25" s="14" t="n"/>
      <c r="C25" s="14" t="n"/>
      <c r="D25" s="37" t="n"/>
      <c r="E25" s="3" t="n"/>
      <c r="F25" s="3" t="n"/>
      <c r="G25" s="3" t="n"/>
      <c r="H25" s="3" t="n"/>
      <c r="I25" s="4" t="n"/>
      <c r="J25" s="19" t="n"/>
      <c r="K25" s="19" t="n"/>
      <c r="L25" s="19" t="n"/>
      <c r="M25" s="2" t="inlineStr">
        <is>
          <t>Waiting</t>
        </is>
      </c>
      <c r="N25" s="2" t="n"/>
      <c r="O25" s="2" t="n"/>
      <c r="P25" s="2" t="n"/>
      <c r="Q25" s="28" t="n"/>
      <c r="R25" s="29" t="n"/>
      <c r="S25" s="5" t="inlineStr">
        <is>
          <t>KIPP10LAB31CP101</t>
        </is>
      </c>
      <c r="T25" s="5">
        <f>LEFT(B25,7)</f>
        <v/>
      </c>
    </row>
    <row r="26" ht="30" customFormat="1" customHeight="1" s="5">
      <c r="A26" s="17" t="n">
        <v>25</v>
      </c>
      <c r="B26" s="14" t="n"/>
      <c r="C26" s="14" t="n"/>
      <c r="D26" s="37" t="n"/>
      <c r="E26" s="3" t="n"/>
      <c r="F26" s="3" t="n"/>
      <c r="G26" s="3" t="n"/>
      <c r="H26" s="3" t="n"/>
      <c r="I26" s="4" t="n"/>
      <c r="J26" s="19" t="n"/>
      <c r="K26" s="19" t="n"/>
      <c r="L26" s="19" t="n"/>
      <c r="M26" s="2" t="inlineStr">
        <is>
          <t>Waiting</t>
        </is>
      </c>
      <c r="N26" s="2" t="n"/>
      <c r="O26" s="2" t="n"/>
      <c r="P26" s="2" t="n"/>
      <c r="Q26" s="28" t="n"/>
      <c r="R26" s="29" t="n"/>
      <c r="S26" s="5" t="inlineStr">
        <is>
          <t>KIPP10LAB32CP101</t>
        </is>
      </c>
      <c r="T26" s="5">
        <f>LEFT(B26,7)</f>
        <v/>
      </c>
    </row>
    <row r="27" ht="30" customFormat="1" customHeight="1" s="5">
      <c r="A27" s="17" t="n">
        <v>26</v>
      </c>
      <c r="B27" s="14" t="n"/>
      <c r="C27" s="14" t="n"/>
      <c r="D27" s="37" t="n"/>
      <c r="E27" s="3" t="n"/>
      <c r="F27" s="3" t="n"/>
      <c r="G27" s="3" t="n"/>
      <c r="H27" s="3" t="n"/>
      <c r="I27" s="4" t="n"/>
      <c r="J27" s="19" t="n"/>
      <c r="K27" s="19" t="n"/>
      <c r="L27" s="19" t="n"/>
      <c r="M27" s="2" t="inlineStr">
        <is>
          <t>Waiting</t>
        </is>
      </c>
      <c r="N27" s="2" t="n"/>
      <c r="O27" s="2" t="n"/>
      <c r="P27" s="2" t="n"/>
      <c r="Q27" s="28" t="n"/>
      <c r="R27" s="29" t="n"/>
      <c r="S27" s="5" t="inlineStr">
        <is>
          <t>KIPP10LAB33CP101</t>
        </is>
      </c>
      <c r="T27" s="5">
        <f>LEFT(B27,7)</f>
        <v/>
      </c>
    </row>
    <row r="28" ht="30" customFormat="1" customHeight="1" s="5">
      <c r="A28" s="17" t="n">
        <v>27</v>
      </c>
      <c r="B28" s="14" t="n"/>
      <c r="C28" s="14" t="n"/>
      <c r="D28" s="37" t="n"/>
      <c r="E28" s="3" t="n"/>
      <c r="F28" s="3" t="n"/>
      <c r="G28" s="3" t="n"/>
      <c r="H28" s="3" t="n"/>
      <c r="I28" s="4" t="n"/>
      <c r="J28" s="19" t="n"/>
      <c r="K28" s="19" t="n"/>
      <c r="L28" s="19" t="n"/>
      <c r="M28" s="2" t="inlineStr">
        <is>
          <t>Waiting</t>
        </is>
      </c>
      <c r="N28" s="2" t="n"/>
      <c r="O28" s="2" t="n"/>
      <c r="P28" s="2" t="n"/>
      <c r="Q28" s="28" t="n"/>
      <c r="R28" s="29" t="n"/>
      <c r="S28" s="5" t="inlineStr">
        <is>
          <t>KIPP10LBA10CP001</t>
        </is>
      </c>
      <c r="T28" s="5">
        <f>LEFT(B28,7)</f>
        <v/>
      </c>
    </row>
    <row r="29" ht="30" customFormat="1" customHeight="1" s="5">
      <c r="A29" s="17" t="n">
        <v>28</v>
      </c>
      <c r="B29" s="14" t="n"/>
      <c r="C29" s="14" t="n"/>
      <c r="D29" s="37" t="n"/>
      <c r="E29" s="3" t="n"/>
      <c r="F29" s="3" t="n"/>
      <c r="G29" s="3" t="n"/>
      <c r="H29" s="3" t="n"/>
      <c r="I29" s="4" t="n"/>
      <c r="J29" s="19" t="n"/>
      <c r="K29" s="19" t="n"/>
      <c r="L29" s="19" t="n"/>
      <c r="M29" s="2" t="inlineStr">
        <is>
          <t>Waiting</t>
        </is>
      </c>
      <c r="N29" s="2" t="n"/>
      <c r="O29" s="2" t="n"/>
      <c r="P29" s="2" t="n"/>
      <c r="Q29" s="28" t="n"/>
      <c r="R29" s="29" t="n"/>
      <c r="S29" s="5" t="inlineStr">
        <is>
          <t>KIPP10LBA10CP002</t>
        </is>
      </c>
      <c r="T29" s="5">
        <f>LEFT(B29,7)</f>
        <v/>
      </c>
    </row>
    <row r="30" ht="30" customFormat="1" customHeight="1" s="5">
      <c r="A30" s="17" t="n">
        <v>29</v>
      </c>
      <c r="B30" s="14" t="n"/>
      <c r="C30" s="14" t="n"/>
      <c r="D30" s="37" t="n"/>
      <c r="E30" s="3" t="n"/>
      <c r="F30" s="3" t="n"/>
      <c r="G30" s="3" t="n"/>
      <c r="H30" s="3" t="n"/>
      <c r="I30" s="4" t="n"/>
      <c r="J30" s="19" t="n"/>
      <c r="K30" s="19" t="n"/>
      <c r="L30" s="19" t="n"/>
      <c r="M30" s="2" t="inlineStr">
        <is>
          <t>Waiting</t>
        </is>
      </c>
      <c r="N30" s="2" t="n"/>
      <c r="O30" s="2" t="n"/>
      <c r="P30" s="2" t="n"/>
      <c r="Q30" s="28" t="n"/>
      <c r="R30" s="29" t="n"/>
      <c r="S30" s="5" t="inlineStr">
        <is>
          <t>KIPP10LBA50CP001</t>
        </is>
      </c>
      <c r="T30" s="5">
        <f>LEFT(B30,7)</f>
        <v/>
      </c>
    </row>
    <row r="31" ht="30" customFormat="1" customHeight="1" s="5">
      <c r="A31" s="17" t="n">
        <v>30</v>
      </c>
      <c r="B31" s="14" t="n"/>
      <c r="C31" s="14" t="n"/>
      <c r="D31" s="37" t="n"/>
      <c r="E31" s="3" t="n"/>
      <c r="F31" s="3" t="n"/>
      <c r="G31" s="3" t="n"/>
      <c r="H31" s="3" t="n"/>
      <c r="I31" s="4" t="n"/>
      <c r="J31" s="19" t="n"/>
      <c r="K31" s="19" t="n"/>
      <c r="L31" s="19" t="n"/>
      <c r="M31" s="2" t="inlineStr">
        <is>
          <t>Waiting</t>
        </is>
      </c>
      <c r="N31" s="2" t="n"/>
      <c r="O31" s="2" t="n"/>
      <c r="P31" s="2" t="n"/>
      <c r="Q31" s="28" t="n"/>
      <c r="R31" s="29" t="n"/>
      <c r="S31" s="5" t="inlineStr">
        <is>
          <t>KIPP10LBA50CP002</t>
        </is>
      </c>
      <c r="T31" s="5">
        <f>LEFT(B31,7)</f>
        <v/>
      </c>
    </row>
    <row r="32" ht="30" customFormat="1" customHeight="1" s="5">
      <c r="A32" s="17" t="n">
        <v>31</v>
      </c>
      <c r="B32" s="14" t="n"/>
      <c r="C32" s="14" t="n"/>
      <c r="D32" s="37" t="n"/>
      <c r="E32" s="3" t="n"/>
      <c r="F32" s="3" t="n"/>
      <c r="G32" s="3" t="n"/>
      <c r="H32" s="3" t="n"/>
      <c r="I32" s="4" t="n"/>
      <c r="J32" s="19" t="n"/>
      <c r="K32" s="19" t="n"/>
      <c r="L32" s="19" t="n"/>
      <c r="M32" s="2" t="inlineStr">
        <is>
          <t>Waiting</t>
        </is>
      </c>
      <c r="N32" s="2" t="n"/>
      <c r="O32" s="2" t="n"/>
      <c r="P32" s="2" t="n"/>
      <c r="Q32" s="28" t="n"/>
      <c r="R32" s="29" t="n"/>
      <c r="S32" s="5" t="inlineStr">
        <is>
          <t>KIPP10LBB41CP001</t>
        </is>
      </c>
      <c r="T32" s="5">
        <f>LEFT(B32,7)</f>
        <v/>
      </c>
    </row>
    <row r="33" ht="30" customFormat="1" customHeight="1" s="5">
      <c r="A33" s="17" t="n">
        <v>32</v>
      </c>
      <c r="B33" s="14" t="n"/>
      <c r="C33" s="14" t="n"/>
      <c r="D33" s="37" t="n"/>
      <c r="E33" s="3" t="n"/>
      <c r="F33" s="3" t="n"/>
      <c r="G33" s="3" t="n"/>
      <c r="H33" s="3" t="n"/>
      <c r="I33" s="4" t="n"/>
      <c r="J33" s="19" t="n"/>
      <c r="K33" s="19" t="n"/>
      <c r="L33" s="19" t="n"/>
      <c r="M33" s="2" t="inlineStr">
        <is>
          <t>Waiting</t>
        </is>
      </c>
      <c r="N33" s="2" t="n"/>
      <c r="O33" s="2" t="n"/>
      <c r="P33" s="2" t="n"/>
      <c r="Q33" s="28" t="n"/>
      <c r="R33" s="29" t="n"/>
      <c r="S33" s="5" t="inlineStr">
        <is>
          <t>KIPP10LBB42CP001</t>
        </is>
      </c>
      <c r="T33" s="5">
        <f>LEFT(B33,7)</f>
        <v/>
      </c>
    </row>
    <row r="34" ht="30" customFormat="1" customHeight="1" s="5">
      <c r="A34" s="17" t="n">
        <v>33</v>
      </c>
      <c r="B34" s="14" t="n"/>
      <c r="C34" s="14" t="n"/>
      <c r="D34" s="37" t="n"/>
      <c r="E34" s="3" t="n"/>
      <c r="F34" s="3" t="n"/>
      <c r="G34" s="3" t="n"/>
      <c r="H34" s="3" t="n"/>
      <c r="I34" s="4" t="n"/>
      <c r="J34" s="19" t="n"/>
      <c r="K34" s="19" t="n"/>
      <c r="L34" s="19" t="n"/>
      <c r="M34" s="2" t="inlineStr">
        <is>
          <t>Waiting</t>
        </is>
      </c>
      <c r="N34" s="2" t="n"/>
      <c r="O34" s="2" t="n"/>
      <c r="P34" s="2" t="n"/>
      <c r="Q34" s="28" t="n"/>
      <c r="R34" s="29" t="n"/>
      <c r="S34" s="5" t="inlineStr">
        <is>
          <t>KIPP10LBC10CP001</t>
        </is>
      </c>
      <c r="T34" s="5">
        <f>LEFT(B34,7)</f>
        <v/>
      </c>
    </row>
    <row r="35" ht="30" customFormat="1" customHeight="1" s="5">
      <c r="A35" s="17" t="n">
        <v>34</v>
      </c>
      <c r="B35" s="14" t="n"/>
      <c r="C35" s="14" t="n"/>
      <c r="D35" s="37" t="n"/>
      <c r="E35" s="3" t="n"/>
      <c r="F35" s="3" t="n"/>
      <c r="G35" s="3" t="n"/>
      <c r="H35" s="3" t="n"/>
      <c r="I35" s="4" t="n"/>
      <c r="J35" s="19" t="n"/>
      <c r="K35" s="19" t="n"/>
      <c r="L35" s="19" t="n"/>
      <c r="M35" s="2" t="inlineStr">
        <is>
          <t>Waiting</t>
        </is>
      </c>
      <c r="N35" s="2" t="n"/>
      <c r="O35" s="2" t="n"/>
      <c r="P35" s="2" t="n"/>
      <c r="Q35" s="28" t="n"/>
      <c r="R35" s="29" t="n"/>
      <c r="S35" s="5" t="inlineStr">
        <is>
          <t>KIPP10LBC10CP002</t>
        </is>
      </c>
      <c r="T35" s="5">
        <f>LEFT(B35,7)</f>
        <v/>
      </c>
    </row>
    <row r="36" ht="30" customFormat="1" customHeight="1" s="5">
      <c r="A36" s="17" t="n">
        <v>35</v>
      </c>
      <c r="B36" s="14" t="n"/>
      <c r="C36" s="14" t="n"/>
      <c r="D36" s="37" t="n"/>
      <c r="E36" s="3" t="n"/>
      <c r="F36" s="3" t="n"/>
      <c r="G36" s="3" t="n"/>
      <c r="H36" s="3" t="n"/>
      <c r="I36" s="4" t="n"/>
      <c r="J36" s="19" t="n"/>
      <c r="K36" s="19" t="n"/>
      <c r="L36" s="19" t="n"/>
      <c r="M36" s="2" t="inlineStr">
        <is>
          <t>Waiting</t>
        </is>
      </c>
      <c r="N36" s="2" t="n"/>
      <c r="O36" s="2" t="n"/>
      <c r="P36" s="2" t="n"/>
      <c r="Q36" s="28" t="n"/>
      <c r="R36" s="29" t="n"/>
      <c r="S36" s="5" t="inlineStr">
        <is>
          <t>KIPP10LBC10CP003</t>
        </is>
      </c>
      <c r="T36" s="5">
        <f>LEFT(B36,7)</f>
        <v/>
      </c>
    </row>
    <row r="37" ht="30" customFormat="1" customHeight="1" s="5">
      <c r="A37" s="17" t="n">
        <v>36</v>
      </c>
      <c r="B37" s="14" t="n"/>
      <c r="C37" s="14" t="n"/>
      <c r="D37" s="37" t="n"/>
      <c r="E37" s="3" t="n"/>
      <c r="F37" s="3" t="n"/>
      <c r="G37" s="3" t="n"/>
      <c r="H37" s="3" t="n"/>
      <c r="I37" s="4" t="n"/>
      <c r="J37" s="19" t="n"/>
      <c r="K37" s="19" t="n"/>
      <c r="L37" s="19" t="n"/>
      <c r="M37" s="2" t="inlineStr">
        <is>
          <t>Waiting</t>
        </is>
      </c>
      <c r="N37" s="2" t="n"/>
      <c r="O37" s="2" t="n"/>
      <c r="P37" s="2" t="n"/>
      <c r="Q37" s="28" t="n"/>
      <c r="R37" s="29" t="n"/>
      <c r="S37" s="5" t="inlineStr">
        <is>
          <t>KIPP10LBC10CP101</t>
        </is>
      </c>
      <c r="T37" s="5">
        <f>LEFT(B37,7)</f>
        <v/>
      </c>
    </row>
    <row r="38" ht="30" customFormat="1" customHeight="1" s="5">
      <c r="A38" s="17" t="n">
        <v>37</v>
      </c>
      <c r="B38" s="14" t="n"/>
      <c r="C38" s="14" t="n"/>
      <c r="D38" s="37" t="n"/>
      <c r="E38" s="3" t="n"/>
      <c r="F38" s="3" t="n"/>
      <c r="G38" s="3" t="n"/>
      <c r="H38" s="3" t="n"/>
      <c r="I38" s="4" t="n"/>
      <c r="J38" s="19" t="n"/>
      <c r="K38" s="19" t="n"/>
      <c r="L38" s="19" t="n"/>
      <c r="M38" s="2" t="inlineStr">
        <is>
          <t>Waiting</t>
        </is>
      </c>
      <c r="N38" s="2" t="n"/>
      <c r="O38" s="2" t="n"/>
      <c r="P38" s="2" t="n"/>
      <c r="Q38" s="28" t="n"/>
      <c r="R38" s="29" t="n"/>
      <c r="S38" s="5" t="inlineStr">
        <is>
          <t>KIPP10LBG00CP101</t>
        </is>
      </c>
      <c r="T38" s="5">
        <f>LEFT(B38,7)</f>
        <v/>
      </c>
    </row>
    <row r="39" ht="30" customFormat="1" customHeight="1" s="5">
      <c r="A39" s="17" t="n">
        <v>38</v>
      </c>
      <c r="B39" s="14" t="n"/>
      <c r="C39" s="14" t="n"/>
      <c r="D39" s="37" t="n"/>
      <c r="E39" s="3" t="n"/>
      <c r="F39" s="3" t="n"/>
      <c r="G39" s="3" t="n"/>
      <c r="H39" s="3" t="n"/>
      <c r="I39" s="4" t="n"/>
      <c r="J39" s="19" t="n"/>
      <c r="K39" s="19" t="n"/>
      <c r="L39" s="19" t="n"/>
      <c r="M39" s="2" t="inlineStr">
        <is>
          <t>Waiting</t>
        </is>
      </c>
      <c r="N39" s="2" t="n"/>
      <c r="O39" s="2" t="n"/>
      <c r="P39" s="2" t="n"/>
      <c r="Q39" s="28" t="n"/>
      <c r="R39" s="29" t="n"/>
      <c r="S39" s="5" t="inlineStr">
        <is>
          <t>KIPP10LBG00CP102</t>
        </is>
      </c>
      <c r="T39" s="5">
        <f>LEFT(B39,7)</f>
        <v/>
      </c>
    </row>
    <row r="40" ht="30" customFormat="1" customHeight="1" s="5">
      <c r="A40" s="17" t="n">
        <v>39</v>
      </c>
      <c r="B40" s="14" t="n"/>
      <c r="C40" s="14" t="n"/>
      <c r="D40" s="37" t="n"/>
      <c r="E40" s="3" t="n"/>
      <c r="F40" s="3" t="n"/>
      <c r="G40" s="3" t="n"/>
      <c r="H40" s="3" t="n"/>
      <c r="I40" s="4" t="n"/>
      <c r="J40" s="19" t="n"/>
      <c r="K40" s="19" t="n"/>
      <c r="L40" s="19" t="n"/>
      <c r="M40" s="2" t="inlineStr">
        <is>
          <t>Waiting</t>
        </is>
      </c>
      <c r="N40" s="2" t="n"/>
      <c r="O40" s="2" t="n"/>
      <c r="P40" s="2" t="n"/>
      <c r="Q40" s="28" t="n"/>
      <c r="R40" s="29" t="n"/>
      <c r="S40" s="5" t="inlineStr">
        <is>
          <t>KIPP10LCA01CP102</t>
        </is>
      </c>
      <c r="T40" s="5">
        <f>LEFT(B40,7)</f>
        <v/>
      </c>
    </row>
    <row r="41" ht="30" customFormat="1" customHeight="1" s="5">
      <c r="A41" s="17" t="n">
        <v>40</v>
      </c>
      <c r="B41" s="14" t="n"/>
      <c r="C41" s="14" t="n"/>
      <c r="D41" s="37" t="n"/>
      <c r="E41" s="3" t="n"/>
      <c r="F41" s="3" t="n"/>
      <c r="G41" s="3" t="n"/>
      <c r="H41" s="3" t="n"/>
      <c r="I41" s="4" t="n"/>
      <c r="J41" s="19" t="n"/>
      <c r="K41" s="19" t="n"/>
      <c r="L41" s="19" t="n"/>
      <c r="M41" s="2" t="inlineStr">
        <is>
          <t>Waiting</t>
        </is>
      </c>
      <c r="N41" s="2" t="n"/>
      <c r="O41" s="2" t="n"/>
      <c r="P41" s="2" t="n"/>
      <c r="Q41" s="28" t="n"/>
      <c r="R41" s="29" t="n"/>
      <c r="S41" s="5" t="inlineStr">
        <is>
          <t>KIPP10LCA02CP102</t>
        </is>
      </c>
      <c r="T41" s="5">
        <f>LEFT(B41,7)</f>
        <v/>
      </c>
    </row>
    <row r="42" ht="30" customFormat="1" customHeight="1" s="5">
      <c r="A42" s="17" t="n">
        <v>41</v>
      </c>
      <c r="B42" s="14" t="n"/>
      <c r="C42" s="14" t="n"/>
      <c r="D42" s="37" t="n"/>
      <c r="E42" s="3" t="n"/>
      <c r="F42" s="3" t="n"/>
      <c r="G42" s="3" t="n"/>
      <c r="H42" s="3" t="n"/>
      <c r="I42" s="4" t="n"/>
      <c r="J42" s="19" t="n"/>
      <c r="K42" s="19" t="n"/>
      <c r="L42" s="19" t="n"/>
      <c r="M42" s="2" t="inlineStr">
        <is>
          <t>Waiting</t>
        </is>
      </c>
      <c r="N42" s="2" t="n"/>
      <c r="O42" s="2" t="n"/>
      <c r="P42" s="2" t="n"/>
      <c r="Q42" s="28" t="n"/>
      <c r="R42" s="29" t="n"/>
      <c r="S42" s="5" t="inlineStr">
        <is>
          <t>KIPP10LCA03CP102</t>
        </is>
      </c>
      <c r="T42" s="5">
        <f>LEFT(B42,7)</f>
        <v/>
      </c>
    </row>
    <row r="43" ht="30" customFormat="1" customHeight="1" s="5">
      <c r="A43" s="17" t="n">
        <v>42</v>
      </c>
      <c r="B43" s="14" t="n"/>
      <c r="C43" s="14" t="n"/>
      <c r="D43" s="37" t="n"/>
      <c r="E43" s="3" t="n"/>
      <c r="F43" s="3" t="n"/>
      <c r="G43" s="3" t="n"/>
      <c r="H43" s="3" t="n"/>
      <c r="I43" s="4" t="n"/>
      <c r="J43" s="19" t="n"/>
      <c r="K43" s="19" t="n"/>
      <c r="L43" s="19" t="n"/>
      <c r="M43" s="2" t="inlineStr">
        <is>
          <t>Waiting</t>
        </is>
      </c>
      <c r="N43" s="2" t="n"/>
      <c r="O43" s="2" t="n"/>
      <c r="P43" s="2" t="n"/>
      <c r="Q43" s="28" t="n"/>
      <c r="R43" s="29" t="n"/>
      <c r="S43" s="5" t="inlineStr">
        <is>
          <t>KIPP10LCA10CP101</t>
        </is>
      </c>
      <c r="T43" s="5">
        <f>LEFT(B43,7)</f>
        <v/>
      </c>
    </row>
    <row r="44" ht="30" customFormat="1" customHeight="1" s="5">
      <c r="A44" s="17" t="n">
        <v>43</v>
      </c>
      <c r="B44" s="14" t="n"/>
      <c r="C44" s="14" t="n"/>
      <c r="D44" s="37" t="n"/>
      <c r="E44" s="3" t="n"/>
      <c r="F44" s="3" t="n"/>
      <c r="G44" s="3" t="n"/>
      <c r="H44" s="3" t="n"/>
      <c r="I44" s="4" t="n"/>
      <c r="J44" s="19" t="n"/>
      <c r="K44" s="19" t="n"/>
      <c r="L44" s="19" t="n"/>
      <c r="M44" s="2" t="inlineStr">
        <is>
          <t>Waiting</t>
        </is>
      </c>
      <c r="N44" s="2" t="n"/>
      <c r="O44" s="2" t="n"/>
      <c r="P44" s="2" t="n"/>
      <c r="Q44" s="28" t="n"/>
      <c r="R44" s="29" t="n"/>
      <c r="S44" s="5" t="inlineStr">
        <is>
          <t>KIPP10LCA10CP102</t>
        </is>
      </c>
      <c r="T44" s="5">
        <f>LEFT(B44,7)</f>
        <v/>
      </c>
    </row>
    <row r="45" ht="30" customFormat="1" customHeight="1" s="5">
      <c r="A45" s="17" t="n">
        <v>44</v>
      </c>
      <c r="B45" s="14" t="n"/>
      <c r="C45" s="14" t="n"/>
      <c r="D45" s="37" t="n"/>
      <c r="E45" s="3" t="n"/>
      <c r="F45" s="3" t="n"/>
      <c r="G45" s="3" t="n"/>
      <c r="H45" s="3" t="n"/>
      <c r="I45" s="4" t="n"/>
      <c r="J45" s="19" t="n"/>
      <c r="K45" s="19" t="n"/>
      <c r="L45" s="30" t="n"/>
      <c r="M45" s="2" t="inlineStr">
        <is>
          <t>Waiting</t>
        </is>
      </c>
      <c r="N45" s="2" t="n"/>
      <c r="O45" s="2" t="n"/>
      <c r="P45" s="2" t="n"/>
      <c r="Q45" s="31" t="n"/>
      <c r="R45" s="29" t="n"/>
      <c r="S45" s="5" t="inlineStr">
        <is>
          <t>KIPP10LCA10CP103</t>
        </is>
      </c>
      <c r="T45" s="5">
        <f>LEFT(B45,7)</f>
        <v/>
      </c>
    </row>
    <row r="46" ht="30" customFormat="1" customHeight="1" s="5">
      <c r="A46" s="17" t="n">
        <v>45</v>
      </c>
      <c r="B46" s="14" t="n"/>
      <c r="C46" s="14" t="n"/>
      <c r="D46" s="37" t="n"/>
      <c r="E46" s="3" t="n"/>
      <c r="F46" s="3" t="n"/>
      <c r="G46" s="3" t="n"/>
      <c r="H46" s="3" t="n"/>
      <c r="I46" s="4" t="n"/>
      <c r="J46" s="19" t="n"/>
      <c r="K46" s="19" t="n"/>
      <c r="L46" s="19" t="n"/>
      <c r="M46" s="2" t="inlineStr">
        <is>
          <t>Waiting</t>
        </is>
      </c>
      <c r="N46" s="2" t="n"/>
      <c r="O46" s="2" t="n"/>
      <c r="P46" s="2" t="n"/>
      <c r="Q46" s="31" t="n"/>
      <c r="R46" s="29" t="n"/>
      <c r="S46" s="5" t="inlineStr">
        <is>
          <t>KIPP10LCA11CP101</t>
        </is>
      </c>
      <c r="T46" s="5">
        <f>LEFT(B46,7)</f>
        <v/>
      </c>
    </row>
    <row r="47" ht="30" customFormat="1" customHeight="1" s="5">
      <c r="A47" s="17" t="n">
        <v>46</v>
      </c>
      <c r="B47" s="14" t="n"/>
      <c r="C47" s="14" t="n"/>
      <c r="D47" s="37" t="n"/>
      <c r="E47" s="3" t="n"/>
      <c r="F47" s="3" t="n"/>
      <c r="G47" s="3" t="n"/>
      <c r="H47" s="3" t="n"/>
      <c r="I47" s="4" t="n"/>
      <c r="J47" s="19" t="n"/>
      <c r="K47" s="19" t="n"/>
      <c r="L47" s="19" t="n"/>
      <c r="M47" s="2" t="inlineStr">
        <is>
          <t>Waiting</t>
        </is>
      </c>
      <c r="N47" s="2" t="n"/>
      <c r="O47" s="2" t="n"/>
      <c r="P47" s="2" t="n"/>
      <c r="Q47" s="31" t="n"/>
      <c r="R47" s="29" t="n"/>
      <c r="S47" s="5" t="inlineStr">
        <is>
          <t>KIPP10LCA12CP101</t>
        </is>
      </c>
      <c r="T47" s="5">
        <f>LEFT(B47,7)</f>
        <v/>
      </c>
    </row>
    <row r="48" ht="30" customFormat="1" customHeight="1" s="5">
      <c r="A48" s="17" t="n">
        <v>47</v>
      </c>
      <c r="B48" s="14" t="n"/>
      <c r="C48" s="14" t="n"/>
      <c r="D48" s="37" t="n"/>
      <c r="E48" s="3" t="n"/>
      <c r="F48" s="3" t="n"/>
      <c r="G48" s="3" t="n"/>
      <c r="H48" s="3" t="n"/>
      <c r="I48" s="4" t="n"/>
      <c r="J48" s="19" t="n"/>
      <c r="K48" s="19" t="n"/>
      <c r="L48" s="19" t="n"/>
      <c r="M48" s="2" t="inlineStr">
        <is>
          <t>Waiting</t>
        </is>
      </c>
      <c r="N48" s="2" t="n"/>
      <c r="O48" s="2" t="n"/>
      <c r="P48" s="2" t="n"/>
      <c r="Q48" s="31" t="n"/>
      <c r="R48" s="29" t="n"/>
      <c r="S48" s="5" t="inlineStr">
        <is>
          <t>KIPP10LCA13CP101</t>
        </is>
      </c>
      <c r="T48" s="5">
        <f>LEFT(B48,7)</f>
        <v/>
      </c>
    </row>
    <row r="49" ht="30" customFormat="1" customHeight="1" s="5">
      <c r="A49" s="17" t="n">
        <v>48</v>
      </c>
      <c r="B49" s="14" t="n"/>
      <c r="C49" s="14" t="n"/>
      <c r="D49" s="37" t="n"/>
      <c r="E49" s="3" t="n"/>
      <c r="F49" s="3" t="n"/>
      <c r="G49" s="3" t="n"/>
      <c r="H49" s="3" t="n"/>
      <c r="I49" s="4" t="n"/>
      <c r="J49" s="19" t="n"/>
      <c r="K49" s="19" t="n"/>
      <c r="L49" s="20" t="n"/>
      <c r="M49" s="2" t="inlineStr">
        <is>
          <t>Waiting</t>
        </is>
      </c>
      <c r="N49" s="2" t="n"/>
      <c r="O49" s="2" t="n"/>
      <c r="P49" s="2" t="n"/>
      <c r="Q49" s="28" t="n"/>
      <c r="R49" s="29" t="n"/>
      <c r="S49" s="5" t="inlineStr">
        <is>
          <t>KIPP11HAD10CP001</t>
        </is>
      </c>
      <c r="T49" s="5">
        <f>LEFT(B49,7)</f>
        <v/>
      </c>
    </row>
    <row r="50" ht="30" customFormat="1" customHeight="1" s="5">
      <c r="A50" s="17" t="n">
        <v>49</v>
      </c>
      <c r="B50" s="14" t="n"/>
      <c r="C50" s="14" t="n"/>
      <c r="D50" s="37" t="n"/>
      <c r="E50" s="3" t="n"/>
      <c r="F50" s="3" t="n"/>
      <c r="G50" s="3" t="n"/>
      <c r="H50" s="3" t="n"/>
      <c r="I50" s="4" t="n"/>
      <c r="J50" s="19" t="n"/>
      <c r="K50" s="19" t="n"/>
      <c r="L50" s="20" t="n"/>
      <c r="M50" s="2" t="inlineStr">
        <is>
          <t>Waiting</t>
        </is>
      </c>
      <c r="N50" s="2" t="n"/>
      <c r="O50" s="2" t="n"/>
      <c r="P50" s="2" t="n"/>
      <c r="Q50" s="28" t="n"/>
      <c r="R50" s="29" t="n"/>
      <c r="S50" s="5" t="inlineStr">
        <is>
          <t>KIPP11HAD10CP002</t>
        </is>
      </c>
      <c r="T50" s="5">
        <f>LEFT(B50,7)</f>
        <v/>
      </c>
    </row>
    <row r="51" ht="30" customFormat="1" customHeight="1" s="5">
      <c r="A51" s="17" t="n">
        <v>50</v>
      </c>
      <c r="B51" s="14" t="n"/>
      <c r="C51" s="14" t="n"/>
      <c r="D51" s="37" t="n"/>
      <c r="E51" s="3" t="n"/>
      <c r="F51" s="3" t="n"/>
      <c r="G51" s="3" t="n"/>
      <c r="H51" s="3" t="n"/>
      <c r="I51" s="4" t="n"/>
      <c r="J51" s="19" t="n"/>
      <c r="K51" s="19" t="n"/>
      <c r="L51" s="20" t="n"/>
      <c r="M51" s="2" t="inlineStr">
        <is>
          <t>Waiting</t>
        </is>
      </c>
      <c r="N51" s="2" t="n"/>
      <c r="O51" s="2" t="n"/>
      <c r="P51" s="2" t="n"/>
      <c r="Q51" s="28" t="n"/>
      <c r="R51" s="29" t="n"/>
      <c r="S51" s="5" t="inlineStr">
        <is>
          <t>KIPP11HAD10CP003</t>
        </is>
      </c>
      <c r="T51" s="5">
        <f>LEFT(B51,7)</f>
        <v/>
      </c>
    </row>
    <row r="52" ht="30" customFormat="1" customHeight="1" s="5">
      <c r="A52" s="17" t="n">
        <v>51</v>
      </c>
      <c r="B52" s="14" t="n"/>
      <c r="C52" s="14" t="n"/>
      <c r="D52" s="37" t="n"/>
      <c r="E52" s="3" t="n"/>
      <c r="F52" s="3" t="n"/>
      <c r="G52" s="3" t="n"/>
      <c r="H52" s="3" t="n"/>
      <c r="I52" s="4" t="n"/>
      <c r="J52" s="19" t="n"/>
      <c r="K52" s="19" t="n"/>
      <c r="L52" s="20" t="n"/>
      <c r="M52" s="2" t="inlineStr">
        <is>
          <t>Waiting</t>
        </is>
      </c>
      <c r="N52" s="2" t="n"/>
      <c r="O52" s="2" t="n"/>
      <c r="P52" s="2" t="n"/>
      <c r="Q52" s="28" t="n"/>
      <c r="R52" s="29" t="n"/>
      <c r="S52" s="5" t="inlineStr">
        <is>
          <t>KIPP11HAD30CP001</t>
        </is>
      </c>
      <c r="T52" s="5">
        <f>LEFT(B52,7)</f>
        <v/>
      </c>
    </row>
    <row r="53" ht="30" customFormat="1" customHeight="1" s="5">
      <c r="A53" s="17" t="n">
        <v>52</v>
      </c>
      <c r="B53" s="14" t="n"/>
      <c r="C53" s="14" t="n"/>
      <c r="D53" s="37" t="n"/>
      <c r="E53" s="3" t="n"/>
      <c r="F53" s="3" t="n"/>
      <c r="G53" s="3" t="n"/>
      <c r="H53" s="3" t="n"/>
      <c r="I53" s="4" t="n"/>
      <c r="J53" s="19" t="n"/>
      <c r="K53" s="19" t="n"/>
      <c r="L53" s="20" t="n"/>
      <c r="M53" s="2" t="inlineStr">
        <is>
          <t>Waiting</t>
        </is>
      </c>
      <c r="N53" s="2" t="n"/>
      <c r="O53" s="2" t="n"/>
      <c r="P53" s="2" t="n"/>
      <c r="Q53" s="28" t="n"/>
      <c r="R53" s="29" t="n"/>
      <c r="S53" s="5" t="inlineStr">
        <is>
          <t>KIPP11HAD30CP002</t>
        </is>
      </c>
      <c r="T53" s="5">
        <f>LEFT(B53,7)</f>
        <v/>
      </c>
    </row>
    <row r="54" ht="30" customFormat="1" customHeight="1" s="5">
      <c r="A54" s="17" t="n">
        <v>53</v>
      </c>
      <c r="B54" s="14" t="n"/>
      <c r="C54" s="14" t="n"/>
      <c r="D54" s="37" t="n"/>
      <c r="E54" s="3" t="n"/>
      <c r="F54" s="3" t="n"/>
      <c r="G54" s="3" t="n"/>
      <c r="H54" s="3" t="n"/>
      <c r="I54" s="4" t="n"/>
      <c r="J54" s="19" t="n"/>
      <c r="K54" s="19" t="n"/>
      <c r="L54" s="20" t="n"/>
      <c r="M54" s="2" t="inlineStr">
        <is>
          <t>Waiting</t>
        </is>
      </c>
      <c r="N54" s="2" t="n"/>
      <c r="O54" s="2" t="n"/>
      <c r="P54" s="2" t="n"/>
      <c r="Q54" s="28" t="n"/>
      <c r="R54" s="29" t="n"/>
      <c r="S54" s="5" t="inlineStr">
        <is>
          <t>KIPP11HAD30CP003</t>
        </is>
      </c>
      <c r="T54" s="5">
        <f>LEFT(B54,7)</f>
        <v/>
      </c>
    </row>
    <row r="55" ht="30" customFormat="1" customHeight="1" s="5">
      <c r="A55" s="17" t="n">
        <v>54</v>
      </c>
      <c r="B55" s="14" t="n"/>
      <c r="C55" s="14" t="n"/>
      <c r="D55" s="37" t="n"/>
      <c r="E55" s="3" t="n"/>
      <c r="F55" s="3" t="n"/>
      <c r="G55" s="3" t="n"/>
      <c r="H55" s="3" t="n"/>
      <c r="I55" s="4" t="n"/>
      <c r="J55" s="19" t="n"/>
      <c r="K55" s="19" t="n"/>
      <c r="L55" s="20" t="n"/>
      <c r="M55" s="2" t="inlineStr">
        <is>
          <t>Waiting</t>
        </is>
      </c>
      <c r="N55" s="2" t="n"/>
      <c r="O55" s="2" t="n"/>
      <c r="P55" s="2" t="n"/>
      <c r="Q55" s="28" t="n"/>
      <c r="R55" s="29" t="n"/>
      <c r="S55" s="5" t="inlineStr">
        <is>
          <t>KIPP11HAD50CP001</t>
        </is>
      </c>
      <c r="T55" s="5">
        <f>LEFT(B55,7)</f>
        <v/>
      </c>
    </row>
    <row r="56" ht="30" customFormat="1" customHeight="1" s="5">
      <c r="A56" s="17" t="n">
        <v>55</v>
      </c>
      <c r="B56" s="14" t="n"/>
      <c r="C56" s="14" t="n"/>
      <c r="D56" s="37" t="n"/>
      <c r="E56" s="3" t="n"/>
      <c r="F56" s="3" t="n"/>
      <c r="G56" s="3" t="n"/>
      <c r="H56" s="3" t="n"/>
      <c r="I56" s="4" t="n"/>
      <c r="J56" s="19" t="n"/>
      <c r="K56" s="19" t="n"/>
      <c r="L56" s="20" t="n"/>
      <c r="M56" s="2" t="inlineStr">
        <is>
          <t>Waiting</t>
        </is>
      </c>
      <c r="N56" s="2" t="n"/>
      <c r="O56" s="2" t="n"/>
      <c r="P56" s="2" t="n"/>
      <c r="Q56" s="28" t="n"/>
      <c r="R56" s="29" t="n"/>
      <c r="S56" s="5" t="inlineStr">
        <is>
          <t>KIPP11HAD50CP002</t>
        </is>
      </c>
      <c r="T56" s="5">
        <f>LEFT(B56,7)</f>
        <v/>
      </c>
    </row>
    <row r="57" ht="30" customFormat="1" customHeight="1" s="5">
      <c r="A57" s="17" t="n">
        <v>56</v>
      </c>
      <c r="B57" s="14" t="n"/>
      <c r="C57" s="14" t="n"/>
      <c r="D57" s="37" t="n"/>
      <c r="E57" s="3" t="n"/>
      <c r="F57" s="3" t="n"/>
      <c r="G57" s="3" t="n"/>
      <c r="H57" s="3" t="n"/>
      <c r="I57" s="4" t="n"/>
      <c r="J57" s="19" t="n"/>
      <c r="K57" s="19" t="n"/>
      <c r="L57" s="20" t="n"/>
      <c r="M57" s="2" t="inlineStr">
        <is>
          <t>Waiting</t>
        </is>
      </c>
      <c r="N57" s="2" t="n"/>
      <c r="O57" s="2" t="n"/>
      <c r="P57" s="2" t="n"/>
      <c r="Q57" s="28" t="n"/>
      <c r="R57" s="29" t="n"/>
      <c r="S57" s="5" t="inlineStr">
        <is>
          <t>KIPP11HAD50CP003</t>
        </is>
      </c>
      <c r="T57" s="5">
        <f>LEFT(B57,7)</f>
        <v/>
      </c>
    </row>
    <row r="58" ht="30" customFormat="1" customHeight="1" s="5">
      <c r="A58" s="17" t="n">
        <v>57</v>
      </c>
      <c r="B58" s="14" t="n"/>
      <c r="C58" s="14" t="n"/>
      <c r="D58" s="37" t="n"/>
      <c r="E58" s="3" t="n"/>
      <c r="F58" s="3" t="n"/>
      <c r="G58" s="3" t="n"/>
      <c r="H58" s="3" t="n"/>
      <c r="I58" s="4" t="n"/>
      <c r="J58" s="19" t="n"/>
      <c r="K58" s="19" t="n"/>
      <c r="L58" s="20" t="n"/>
      <c r="M58" s="2" t="inlineStr">
        <is>
          <t>Waiting</t>
        </is>
      </c>
      <c r="N58" s="2" t="n"/>
      <c r="O58" s="2" t="n"/>
      <c r="P58" s="2" t="n"/>
      <c r="Q58" s="28" t="n"/>
      <c r="R58" s="29" t="n"/>
      <c r="S58" s="5" t="inlineStr">
        <is>
          <t>KIPP11LAB46CP001</t>
        </is>
      </c>
      <c r="T58" s="5">
        <f>LEFT(B58,7)</f>
        <v/>
      </c>
    </row>
    <row r="59" ht="30" customFormat="1" customHeight="1" s="5">
      <c r="A59" s="17" t="n">
        <v>58</v>
      </c>
      <c r="B59" s="14" t="n"/>
      <c r="C59" s="14" t="n"/>
      <c r="D59" s="37" t="n"/>
      <c r="E59" s="3" t="n"/>
      <c r="F59" s="3" t="n"/>
      <c r="G59" s="3" t="n"/>
      <c r="H59" s="3" t="n"/>
      <c r="I59" s="4" t="n"/>
      <c r="J59" s="19" t="n"/>
      <c r="K59" s="19" t="n"/>
      <c r="L59" s="20" t="n"/>
      <c r="M59" s="2" t="inlineStr">
        <is>
          <t>Waiting</t>
        </is>
      </c>
      <c r="N59" s="2" t="n"/>
      <c r="O59" s="2" t="n"/>
      <c r="P59" s="2" t="n"/>
      <c r="Q59" s="28" t="n"/>
      <c r="R59" s="29" t="n"/>
      <c r="S59" s="5" t="inlineStr">
        <is>
          <t>KIPP11LAB96CP001</t>
        </is>
      </c>
      <c r="T59" s="5">
        <f>LEFT(B59,7)</f>
        <v/>
      </c>
    </row>
    <row r="60" ht="30" customFormat="1" customHeight="1" s="5">
      <c r="A60" s="17" t="n">
        <v>59</v>
      </c>
      <c r="B60" s="14" t="n"/>
      <c r="C60" s="14" t="n"/>
      <c r="D60" s="37" t="n"/>
      <c r="E60" s="3" t="n"/>
      <c r="F60" s="3" t="n"/>
      <c r="G60" s="3" t="n"/>
      <c r="H60" s="3" t="n"/>
      <c r="I60" s="4" t="n"/>
      <c r="J60" s="19" t="n"/>
      <c r="K60" s="19" t="n"/>
      <c r="L60" s="19" t="n"/>
      <c r="M60" s="2" t="inlineStr">
        <is>
          <t>Waiting</t>
        </is>
      </c>
      <c r="N60" s="2" t="n"/>
      <c r="O60" s="2" t="n"/>
      <c r="P60" s="2" t="n"/>
      <c r="Q60" s="28" t="n"/>
      <c r="R60" s="29" t="n"/>
      <c r="S60" s="5" t="inlineStr">
        <is>
          <t>KIPP11LBA00CP101</t>
        </is>
      </c>
      <c r="T60" s="5">
        <f>LEFT(B60,7)</f>
        <v/>
      </c>
    </row>
    <row r="61" ht="30" customFormat="1" customHeight="1" s="5">
      <c r="A61" s="17" t="n">
        <v>60</v>
      </c>
      <c r="B61" s="14" t="n"/>
      <c r="C61" s="14" t="n"/>
      <c r="D61" s="37" t="n"/>
      <c r="E61" s="3" t="n"/>
      <c r="F61" s="3" t="n"/>
      <c r="G61" s="3" t="n"/>
      <c r="H61" s="3" t="n"/>
      <c r="I61" s="4" t="n"/>
      <c r="J61" s="19" t="n"/>
      <c r="K61" s="19" t="n"/>
      <c r="L61" s="20" t="n"/>
      <c r="M61" s="2" t="inlineStr">
        <is>
          <t>Waiting</t>
        </is>
      </c>
      <c r="N61" s="2" t="n"/>
      <c r="O61" s="2" t="n"/>
      <c r="P61" s="2" t="n"/>
      <c r="Q61" s="28" t="n"/>
      <c r="R61" s="29" t="n"/>
      <c r="S61" s="5" t="inlineStr">
        <is>
          <t>KIPP11LBA10CP001</t>
        </is>
      </c>
      <c r="T61" s="5">
        <f>LEFT(B61,7)</f>
        <v/>
      </c>
    </row>
    <row r="62" ht="30" customFormat="1" customHeight="1" s="5">
      <c r="A62" s="17" t="n">
        <v>61</v>
      </c>
      <c r="B62" s="14" t="n"/>
      <c r="C62" s="14" t="n"/>
      <c r="D62" s="37" t="n"/>
      <c r="E62" s="3" t="n"/>
      <c r="F62" s="3" t="n"/>
      <c r="G62" s="3" t="n"/>
      <c r="H62" s="3" t="n"/>
      <c r="I62" s="4" t="n"/>
      <c r="J62" s="19" t="n"/>
      <c r="K62" s="19" t="n"/>
      <c r="L62" s="19" t="n"/>
      <c r="M62" s="2" t="inlineStr">
        <is>
          <t>Waiting</t>
        </is>
      </c>
      <c r="N62" s="2" t="n"/>
      <c r="O62" s="2" t="n"/>
      <c r="P62" s="2" t="n"/>
      <c r="Q62" s="28" t="n"/>
      <c r="R62" s="29" t="n"/>
      <c r="S62" s="5" t="inlineStr">
        <is>
          <t>KIPP11LBA20CP101</t>
        </is>
      </c>
      <c r="T62" s="5">
        <f>LEFT(B62,7)</f>
        <v/>
      </c>
    </row>
    <row r="63" ht="30" customFormat="1" customHeight="1" s="5">
      <c r="A63" s="17" t="n">
        <v>62</v>
      </c>
      <c r="B63" s="14" t="n"/>
      <c r="C63" s="14" t="n"/>
      <c r="D63" s="37" t="n"/>
      <c r="E63" s="3" t="n"/>
      <c r="F63" s="3" t="n"/>
      <c r="G63" s="3" t="n"/>
      <c r="H63" s="3" t="n"/>
      <c r="I63" s="4" t="n"/>
      <c r="J63" s="19" t="n"/>
      <c r="K63" s="19" t="n"/>
      <c r="L63" s="19" t="n"/>
      <c r="M63" s="2" t="inlineStr">
        <is>
          <t>Waiting</t>
        </is>
      </c>
      <c r="N63" s="2" t="n"/>
      <c r="O63" s="2" t="n"/>
      <c r="P63" s="2" t="n"/>
      <c r="Q63" s="28" t="n"/>
      <c r="R63" s="29" t="n"/>
      <c r="S63" s="5" t="inlineStr">
        <is>
          <t>KIPP11LBA20CP102</t>
        </is>
      </c>
      <c r="T63" s="5">
        <f>LEFT(B63,7)</f>
        <v/>
      </c>
    </row>
    <row r="64" ht="30" customFormat="1" customHeight="1" s="5">
      <c r="A64" s="17" t="n">
        <v>63</v>
      </c>
      <c r="B64" s="14" t="n"/>
      <c r="C64" s="14" t="n"/>
      <c r="D64" s="37" t="n"/>
      <c r="E64" s="3" t="n"/>
      <c r="F64" s="3" t="n"/>
      <c r="G64" s="3" t="n"/>
      <c r="H64" s="3" t="n"/>
      <c r="I64" s="4" t="n"/>
      <c r="J64" s="19" t="n"/>
      <c r="K64" s="19" t="n"/>
      <c r="L64" s="20" t="n"/>
      <c r="M64" s="2" t="inlineStr">
        <is>
          <t>Waiting</t>
        </is>
      </c>
      <c r="N64" s="2" t="n"/>
      <c r="O64" s="2" t="n"/>
      <c r="P64" s="2" t="n"/>
      <c r="Q64" s="28" t="n"/>
      <c r="R64" s="29" t="n"/>
      <c r="S64" s="5" t="inlineStr">
        <is>
          <t>KIPP11LBA30CP001</t>
        </is>
      </c>
      <c r="T64" s="5">
        <f>LEFT(B64,7)</f>
        <v/>
      </c>
    </row>
    <row r="65" ht="30" customFormat="1" customHeight="1" s="5">
      <c r="A65" s="17" t="n">
        <v>64</v>
      </c>
      <c r="B65" s="14" t="n"/>
      <c r="C65" s="14" t="n"/>
      <c r="D65" s="37" t="n"/>
      <c r="E65" s="3" t="n"/>
      <c r="F65" s="3" t="n"/>
      <c r="G65" s="3" t="n"/>
      <c r="H65" s="3" t="n"/>
      <c r="I65" s="4" t="n"/>
      <c r="J65" s="19" t="n"/>
      <c r="K65" s="19" t="n"/>
      <c r="L65" s="19" t="n"/>
      <c r="M65" s="2" t="inlineStr">
        <is>
          <t>Waiting</t>
        </is>
      </c>
      <c r="N65" s="2" t="n"/>
      <c r="O65" s="2" t="n"/>
      <c r="P65" s="2" t="n"/>
      <c r="Q65" s="28" t="n"/>
      <c r="R65" s="29" t="n"/>
      <c r="S65" s="5" t="inlineStr">
        <is>
          <t>KIPP11LBA31CP101</t>
        </is>
      </c>
      <c r="T65" s="5">
        <f>LEFT(B65,7)</f>
        <v/>
      </c>
    </row>
    <row r="66" ht="30" customFormat="1" customHeight="1" s="5">
      <c r="A66" s="17" t="n">
        <v>65</v>
      </c>
      <c r="B66" s="14" t="n"/>
      <c r="C66" s="14" t="n"/>
      <c r="D66" s="37" t="n"/>
      <c r="E66" s="3" t="n"/>
      <c r="F66" s="3" t="n"/>
      <c r="G66" s="3" t="n"/>
      <c r="H66" s="3" t="n"/>
      <c r="I66" s="4" t="n"/>
      <c r="J66" s="19" t="n"/>
      <c r="K66" s="19" t="n"/>
      <c r="L66" s="19" t="n"/>
      <c r="M66" s="2" t="inlineStr">
        <is>
          <t>Waiting</t>
        </is>
      </c>
      <c r="N66" s="2" t="n"/>
      <c r="O66" s="2" t="n"/>
      <c r="P66" s="2" t="n"/>
      <c r="Q66" s="28" t="n"/>
      <c r="R66" s="29" t="n"/>
      <c r="S66" s="5" t="inlineStr">
        <is>
          <t>KIPP11LBA40CP101</t>
        </is>
      </c>
      <c r="T66" s="5">
        <f>LEFT(B66,7)</f>
        <v/>
      </c>
    </row>
    <row r="67" ht="30" customFormat="1" customHeight="1" s="5">
      <c r="A67" s="17" t="n">
        <v>66</v>
      </c>
      <c r="B67" s="14" t="n"/>
      <c r="C67" s="14" t="n"/>
      <c r="D67" s="37" t="n"/>
      <c r="E67" s="3" t="n"/>
      <c r="F67" s="3" t="n"/>
      <c r="G67" s="3" t="n"/>
      <c r="H67" s="3" t="n"/>
      <c r="I67" s="4" t="n"/>
      <c r="J67" s="19" t="n"/>
      <c r="K67" s="19" t="n"/>
      <c r="L67" s="19" t="n"/>
      <c r="M67" s="2" t="inlineStr">
        <is>
          <t>Waiting</t>
        </is>
      </c>
      <c r="N67" s="2" t="n"/>
      <c r="O67" s="2" t="n"/>
      <c r="P67" s="2" t="n"/>
      <c r="Q67" s="28" t="n"/>
      <c r="R67" s="29" t="n"/>
      <c r="S67" s="5" t="inlineStr">
        <is>
          <t>KIPP11LBA40CP102</t>
        </is>
      </c>
      <c r="T67" s="5">
        <f>LEFT(B67,7)</f>
        <v/>
      </c>
    </row>
    <row r="68" ht="30" customFormat="1" customHeight="1" s="5">
      <c r="A68" s="17" t="n">
        <v>67</v>
      </c>
      <c r="B68" s="14" t="n"/>
      <c r="C68" s="14" t="n"/>
      <c r="D68" s="37" t="n"/>
      <c r="E68" s="3" t="n"/>
      <c r="F68" s="3" t="n"/>
      <c r="G68" s="3" t="n"/>
      <c r="H68" s="3" t="n"/>
      <c r="I68" s="4" t="n"/>
      <c r="J68" s="19" t="n"/>
      <c r="K68" s="19" t="n"/>
      <c r="L68" s="20" t="n"/>
      <c r="M68" s="2" t="inlineStr">
        <is>
          <t>Waiting</t>
        </is>
      </c>
      <c r="N68" s="2" t="n"/>
      <c r="O68" s="2" t="n"/>
      <c r="P68" s="2" t="n"/>
      <c r="Q68" s="28" t="n"/>
      <c r="R68" s="29" t="n"/>
      <c r="S68" s="5" t="inlineStr">
        <is>
          <t>KIPP11LBA50CP001</t>
        </is>
      </c>
      <c r="T68" s="5">
        <f>LEFT(B68,7)</f>
        <v/>
      </c>
    </row>
    <row r="69" ht="30" customFormat="1" customHeight="1" s="5">
      <c r="A69" s="17" t="n">
        <v>68</v>
      </c>
      <c r="B69" s="14" t="n"/>
      <c r="C69" s="14" t="n"/>
      <c r="D69" s="37" t="n"/>
      <c r="E69" s="3" t="n"/>
      <c r="F69" s="3" t="n"/>
      <c r="G69" s="3" t="n"/>
      <c r="H69" s="3" t="n"/>
      <c r="I69" s="4" t="n"/>
      <c r="J69" s="19" t="n"/>
      <c r="K69" s="19" t="n"/>
      <c r="L69" s="19" t="n"/>
      <c r="M69" s="2" t="inlineStr">
        <is>
          <t>Waiting</t>
        </is>
      </c>
      <c r="N69" s="2" t="n"/>
      <c r="O69" s="2" t="n"/>
      <c r="P69" s="2" t="n"/>
      <c r="Q69" s="28" t="n"/>
      <c r="R69" s="29" t="n"/>
      <c r="S69" s="5" t="inlineStr">
        <is>
          <t>KIPP11LBB00CP101</t>
        </is>
      </c>
      <c r="T69" s="5">
        <f>LEFT(B69,7)</f>
        <v/>
      </c>
    </row>
    <row r="70" ht="30" customFormat="1" customHeight="1" s="5">
      <c r="A70" s="17" t="n">
        <v>69</v>
      </c>
      <c r="B70" s="14" t="n"/>
      <c r="C70" s="14" t="n"/>
      <c r="D70" s="37" t="n"/>
      <c r="E70" s="3" t="n"/>
      <c r="F70" s="3" t="n"/>
      <c r="G70" s="3" t="n"/>
      <c r="H70" s="3" t="n"/>
      <c r="I70" s="4" t="n"/>
      <c r="J70" s="19" t="n"/>
      <c r="K70" s="19" t="n"/>
      <c r="L70" s="19" t="n"/>
      <c r="M70" s="2" t="inlineStr">
        <is>
          <t>Waiting</t>
        </is>
      </c>
      <c r="N70" s="2" t="n"/>
      <c r="O70" s="2" t="n"/>
      <c r="P70" s="2" t="n"/>
      <c r="Q70" s="28" t="n"/>
      <c r="R70" s="29" t="n"/>
      <c r="S70" s="5" t="inlineStr">
        <is>
          <t>KIPP11LBB20CP101</t>
        </is>
      </c>
      <c r="T70" s="5">
        <f>LEFT(B70,7)</f>
        <v/>
      </c>
    </row>
    <row r="71" ht="30" customFormat="1" customHeight="1" s="5">
      <c r="A71" s="17" t="n">
        <v>70</v>
      </c>
      <c r="B71" s="14" t="n"/>
      <c r="C71" s="14" t="n"/>
      <c r="D71" s="37" t="n"/>
      <c r="E71" s="3" t="n"/>
      <c r="F71" s="3" t="n"/>
      <c r="G71" s="3" t="n"/>
      <c r="H71" s="3" t="n"/>
      <c r="I71" s="4" t="n"/>
      <c r="J71" s="19" t="n"/>
      <c r="K71" s="19" t="n"/>
      <c r="L71" s="19" t="n"/>
      <c r="M71" s="2" t="inlineStr">
        <is>
          <t>Waiting</t>
        </is>
      </c>
      <c r="N71" s="2" t="n"/>
      <c r="O71" s="2" t="n"/>
      <c r="P71" s="2" t="n"/>
      <c r="Q71" s="28" t="n"/>
      <c r="R71" s="29" t="n"/>
      <c r="S71" s="5" t="inlineStr">
        <is>
          <t>KIPP11LBB20CP102</t>
        </is>
      </c>
      <c r="T71" s="5">
        <f>LEFT(B71,7)</f>
        <v/>
      </c>
    </row>
    <row r="72" ht="30" customFormat="1" customHeight="1" s="5">
      <c r="A72" s="17" t="n">
        <v>71</v>
      </c>
      <c r="B72" s="14" t="n"/>
      <c r="C72" s="14" t="n"/>
      <c r="D72" s="37" t="n"/>
      <c r="E72" s="3" t="n"/>
      <c r="F72" s="3" t="n"/>
      <c r="G72" s="3" t="n"/>
      <c r="H72" s="3" t="n"/>
      <c r="I72" s="4" t="n"/>
      <c r="J72" s="19" t="n"/>
      <c r="K72" s="19" t="n"/>
      <c r="L72" s="20" t="n"/>
      <c r="M72" s="2" t="inlineStr">
        <is>
          <t>Waiting</t>
        </is>
      </c>
      <c r="N72" s="2" t="n"/>
      <c r="O72" s="2" t="n"/>
      <c r="P72" s="2" t="n"/>
      <c r="Q72" s="28" t="n"/>
      <c r="R72" s="29" t="n"/>
      <c r="S72" s="5" t="inlineStr">
        <is>
          <t>KIPP11LBB40CP001</t>
        </is>
      </c>
      <c r="T72" s="5">
        <f>LEFT(B72,7)</f>
        <v/>
      </c>
    </row>
    <row r="73" ht="30" customFormat="1" customHeight="1" s="5">
      <c r="A73" s="17" t="n">
        <v>72</v>
      </c>
      <c r="B73" s="14" t="n"/>
      <c r="C73" s="14" t="n"/>
      <c r="D73" s="37" t="n"/>
      <c r="E73" s="3" t="n"/>
      <c r="F73" s="3" t="n"/>
      <c r="G73" s="3" t="n"/>
      <c r="H73" s="3" t="n"/>
      <c r="I73" s="4" t="n"/>
      <c r="J73" s="19" t="n"/>
      <c r="K73" s="19" t="n"/>
      <c r="L73" s="19" t="n"/>
      <c r="M73" s="2" t="inlineStr">
        <is>
          <t>Waiting</t>
        </is>
      </c>
      <c r="N73" s="2" t="n"/>
      <c r="O73" s="2" t="n"/>
      <c r="P73" s="2" t="n"/>
      <c r="Q73" s="28" t="n"/>
      <c r="R73" s="29" t="n"/>
      <c r="S73" s="5" t="inlineStr">
        <is>
          <t>KIPP11LBC00CP101</t>
        </is>
      </c>
      <c r="T73" s="5">
        <f>LEFT(B73,7)</f>
        <v/>
      </c>
    </row>
    <row r="74" ht="30" customFormat="1" customHeight="1" s="5">
      <c r="A74" s="17" t="n">
        <v>73</v>
      </c>
      <c r="B74" s="14" t="n"/>
      <c r="C74" s="14" t="n"/>
      <c r="D74" s="37" t="n"/>
      <c r="E74" s="3" t="n"/>
      <c r="F74" s="3" t="n"/>
      <c r="G74" s="3" t="n"/>
      <c r="H74" s="3" t="n"/>
      <c r="I74" s="4" t="n"/>
      <c r="J74" s="19" t="n"/>
      <c r="K74" s="19" t="n"/>
      <c r="L74" s="20" t="n"/>
      <c r="M74" s="2" t="inlineStr">
        <is>
          <t>Waiting</t>
        </is>
      </c>
      <c r="N74" s="2" t="n"/>
      <c r="O74" s="2" t="n"/>
      <c r="P74" s="2" t="n"/>
      <c r="Q74" s="28" t="n"/>
      <c r="R74" s="29" t="n"/>
      <c r="S74" s="5" t="inlineStr">
        <is>
          <t>KIPP11LBC30CP001</t>
        </is>
      </c>
      <c r="T74" s="5">
        <f>LEFT(B74,7)</f>
        <v/>
      </c>
    </row>
    <row r="75" ht="30" customFormat="1" customHeight="1" s="5">
      <c r="A75" s="17" t="n">
        <v>74</v>
      </c>
      <c r="B75" s="14" t="n"/>
      <c r="C75" s="14" t="n"/>
      <c r="D75" s="37" t="n"/>
      <c r="E75" s="3" t="n"/>
      <c r="F75" s="3" t="n"/>
      <c r="G75" s="3" t="n"/>
      <c r="H75" s="3" t="n"/>
      <c r="I75" s="4" t="n"/>
      <c r="J75" s="19" t="n"/>
      <c r="K75" s="19" t="n"/>
      <c r="L75" s="19" t="n"/>
      <c r="M75" s="2" t="inlineStr">
        <is>
          <t>Waiting</t>
        </is>
      </c>
      <c r="N75" s="2" t="n"/>
      <c r="O75" s="2" t="n"/>
      <c r="P75" s="2" t="n"/>
      <c r="Q75" s="28" t="n"/>
      <c r="R75" s="29" t="n"/>
      <c r="S75" s="5" t="inlineStr">
        <is>
          <t>KIPP11LBG91CP001</t>
        </is>
      </c>
      <c r="T75" s="5">
        <f>LEFT(B75,7)</f>
        <v/>
      </c>
    </row>
    <row r="76" ht="30" customFormat="1" customHeight="1" s="5">
      <c r="A76" s="17" t="n">
        <v>75</v>
      </c>
      <c r="B76" s="14" t="n"/>
      <c r="C76" s="14" t="n"/>
      <c r="D76" s="37" t="n"/>
      <c r="E76" s="3" t="n"/>
      <c r="F76" s="3" t="n"/>
      <c r="G76" s="3" t="n"/>
      <c r="H76" s="3" t="n"/>
      <c r="I76" s="4" t="n"/>
      <c r="J76" s="19" t="n"/>
      <c r="K76" s="19" t="n"/>
      <c r="L76" s="19" t="n"/>
      <c r="M76" s="2" t="inlineStr">
        <is>
          <t>Waiting</t>
        </is>
      </c>
      <c r="N76" s="2" t="n"/>
      <c r="O76" s="2" t="n"/>
      <c r="P76" s="2" t="n"/>
      <c r="Q76" s="28" t="n"/>
      <c r="R76" s="29" t="n"/>
      <c r="S76" s="5" t="inlineStr">
        <is>
          <t>KIPP11LBG91CP002</t>
        </is>
      </c>
      <c r="T76" s="5">
        <f>LEFT(B76,7)</f>
        <v/>
      </c>
    </row>
    <row r="77" ht="30" customFormat="1" customHeight="1" s="5">
      <c r="A77" s="17" t="n">
        <v>76</v>
      </c>
      <c r="B77" s="14" t="n"/>
      <c r="C77" s="14" t="n"/>
      <c r="D77" s="37" t="n"/>
      <c r="E77" s="3" t="n"/>
      <c r="F77" s="3" t="n"/>
      <c r="G77" s="3" t="n"/>
      <c r="H77" s="3" t="n"/>
      <c r="I77" s="4" t="n"/>
      <c r="J77" s="19" t="n"/>
      <c r="K77" s="19" t="n"/>
      <c r="L77" s="20" t="n"/>
      <c r="M77" s="2" t="inlineStr">
        <is>
          <t>Waiting</t>
        </is>
      </c>
      <c r="N77" s="2" t="n"/>
      <c r="O77" s="2" t="n"/>
      <c r="P77" s="2" t="n"/>
      <c r="Q77" s="28" t="n"/>
      <c r="R77" s="29" t="n"/>
      <c r="S77" s="5" t="inlineStr">
        <is>
          <t>KIPP12HAD10CP001</t>
        </is>
      </c>
      <c r="T77" s="5">
        <f>LEFT(B77,7)</f>
        <v/>
      </c>
    </row>
    <row r="78" ht="30" customFormat="1" customHeight="1" s="5">
      <c r="A78" s="17" t="n">
        <v>77</v>
      </c>
      <c r="B78" s="14" t="n"/>
      <c r="C78" s="14" t="n"/>
      <c r="D78" s="37" t="n"/>
      <c r="E78" s="3" t="n"/>
      <c r="F78" s="3" t="n"/>
      <c r="G78" s="3" t="n"/>
      <c r="H78" s="3" t="n"/>
      <c r="I78" s="4" t="n"/>
      <c r="J78" s="19" t="n"/>
      <c r="K78" s="19" t="n"/>
      <c r="L78" s="20" t="n"/>
      <c r="M78" s="2" t="inlineStr">
        <is>
          <t>Waiting</t>
        </is>
      </c>
      <c r="N78" s="2" t="n"/>
      <c r="O78" s="2" t="n"/>
      <c r="P78" s="2" t="n"/>
      <c r="Q78" s="28" t="n"/>
      <c r="R78" s="29" t="n"/>
      <c r="S78" s="5" t="inlineStr">
        <is>
          <t>KIPP12HAD10CP002</t>
        </is>
      </c>
      <c r="T78" s="5">
        <f>LEFT(B78,7)</f>
        <v/>
      </c>
    </row>
    <row r="79" ht="30" customFormat="1" customHeight="1" s="5">
      <c r="A79" s="17" t="n">
        <v>78</v>
      </c>
      <c r="B79" s="14" t="n"/>
      <c r="C79" s="14" t="n"/>
      <c r="D79" s="37" t="n"/>
      <c r="E79" s="3" t="n"/>
      <c r="F79" s="3" t="n"/>
      <c r="G79" s="3" t="n"/>
      <c r="H79" s="3" t="n"/>
      <c r="I79" s="4" t="n"/>
      <c r="J79" s="19" t="n"/>
      <c r="K79" s="19" t="n"/>
      <c r="L79" s="20" t="n"/>
      <c r="M79" s="2" t="inlineStr">
        <is>
          <t>Waiting</t>
        </is>
      </c>
      <c r="N79" s="2" t="n"/>
      <c r="O79" s="2" t="n"/>
      <c r="P79" s="2" t="n"/>
      <c r="Q79" s="28" t="n"/>
      <c r="R79" s="29" t="n"/>
      <c r="S79" s="5" t="inlineStr">
        <is>
          <t>KIPP12HAD10CP003</t>
        </is>
      </c>
      <c r="T79" s="5">
        <f>LEFT(B79,7)</f>
        <v/>
      </c>
    </row>
    <row r="80" ht="30" customFormat="1" customHeight="1" s="5">
      <c r="A80" s="17" t="n">
        <v>79</v>
      </c>
      <c r="B80" s="14" t="n"/>
      <c r="C80" s="14" t="n"/>
      <c r="D80" s="37" t="n"/>
      <c r="E80" s="3" t="n"/>
      <c r="F80" s="3" t="n"/>
      <c r="G80" s="3" t="n"/>
      <c r="H80" s="3" t="n"/>
      <c r="I80" s="4" t="n"/>
      <c r="J80" s="19" t="n"/>
      <c r="K80" s="19" t="n"/>
      <c r="L80" s="20" t="n"/>
      <c r="M80" s="2" t="inlineStr">
        <is>
          <t>Waiting</t>
        </is>
      </c>
      <c r="N80" s="2" t="n"/>
      <c r="O80" s="2" t="n"/>
      <c r="P80" s="2" t="n"/>
      <c r="Q80" s="28" t="n"/>
      <c r="R80" s="29" t="n"/>
      <c r="S80" s="5" t="inlineStr">
        <is>
          <t>KIPP12HAD30CP001</t>
        </is>
      </c>
      <c r="T80" s="5">
        <f>LEFT(B80,7)</f>
        <v/>
      </c>
    </row>
    <row r="81" ht="30" customFormat="1" customHeight="1" s="5">
      <c r="A81" s="17" t="n">
        <v>80</v>
      </c>
      <c r="B81" s="14" t="n"/>
      <c r="C81" s="14" t="n"/>
      <c r="D81" s="37" t="n"/>
      <c r="E81" s="3" t="n"/>
      <c r="F81" s="3" t="n"/>
      <c r="G81" s="3" t="n"/>
      <c r="H81" s="3" t="n"/>
      <c r="I81" s="4" t="n"/>
      <c r="J81" s="19" t="n"/>
      <c r="K81" s="19" t="n"/>
      <c r="L81" s="20" t="n"/>
      <c r="M81" s="2" t="inlineStr">
        <is>
          <t>Waiting</t>
        </is>
      </c>
      <c r="N81" s="2" t="n"/>
      <c r="O81" s="2" t="n"/>
      <c r="P81" s="2" t="n"/>
      <c r="Q81" s="28" t="n"/>
      <c r="R81" s="29" t="n"/>
      <c r="S81" s="5" t="inlineStr">
        <is>
          <t>KIPP12HAD30CP002</t>
        </is>
      </c>
      <c r="T81" s="5">
        <f>LEFT(B81,7)</f>
        <v/>
      </c>
    </row>
    <row r="82" ht="30" customFormat="1" customHeight="1" s="5">
      <c r="A82" s="17" t="n">
        <v>81</v>
      </c>
      <c r="B82" s="14" t="n"/>
      <c r="C82" s="14" t="n"/>
      <c r="D82" s="37" t="n"/>
      <c r="E82" s="3" t="n"/>
      <c r="F82" s="3" t="n"/>
      <c r="G82" s="3" t="n"/>
      <c r="H82" s="3" t="n"/>
      <c r="I82" s="4" t="n"/>
      <c r="J82" s="19" t="n"/>
      <c r="K82" s="19" t="n"/>
      <c r="L82" s="20" t="n"/>
      <c r="M82" s="2" t="inlineStr">
        <is>
          <t>Waiting</t>
        </is>
      </c>
      <c r="N82" s="2" t="n"/>
      <c r="O82" s="2" t="n"/>
      <c r="P82" s="2" t="n"/>
      <c r="Q82" s="28" t="n"/>
      <c r="R82" s="29" t="n"/>
      <c r="S82" s="5" t="inlineStr">
        <is>
          <t>KIPP12HAD30CP003</t>
        </is>
      </c>
      <c r="T82" s="5">
        <f>LEFT(B82,7)</f>
        <v/>
      </c>
    </row>
    <row r="83" ht="30" customFormat="1" customHeight="1" s="5">
      <c r="A83" s="17" t="n">
        <v>82</v>
      </c>
      <c r="B83" s="14" t="n"/>
      <c r="C83" s="14" t="n"/>
      <c r="D83" s="37" t="n"/>
      <c r="E83" s="3" t="n"/>
      <c r="F83" s="3" t="n"/>
      <c r="G83" s="3" t="n"/>
      <c r="H83" s="3" t="n"/>
      <c r="I83" s="4" t="n"/>
      <c r="J83" s="19" t="n"/>
      <c r="K83" s="19" t="n"/>
      <c r="L83" s="20" t="n"/>
      <c r="M83" s="2" t="inlineStr">
        <is>
          <t>Waiting</t>
        </is>
      </c>
      <c r="N83" s="2" t="n"/>
      <c r="O83" s="2" t="n"/>
      <c r="P83" s="2" t="n"/>
      <c r="Q83" s="28" t="n"/>
      <c r="R83" s="29" t="n"/>
      <c r="S83" s="5" t="inlineStr">
        <is>
          <t>KIPP12HAD50CP001</t>
        </is>
      </c>
      <c r="T83" s="5">
        <f>LEFT(B83,7)</f>
        <v/>
      </c>
    </row>
    <row r="84" ht="30" customFormat="1" customHeight="1" s="5">
      <c r="A84" s="17" t="n">
        <v>83</v>
      </c>
      <c r="B84" s="14" t="n"/>
      <c r="C84" s="14" t="n"/>
      <c r="D84" s="37" t="n"/>
      <c r="E84" s="3" t="n"/>
      <c r="F84" s="3" t="n"/>
      <c r="G84" s="3" t="n"/>
      <c r="H84" s="3" t="n"/>
      <c r="I84" s="4" t="n"/>
      <c r="J84" s="19" t="n"/>
      <c r="K84" s="19" t="n"/>
      <c r="L84" s="20" t="n"/>
      <c r="M84" s="2" t="inlineStr">
        <is>
          <t>Waiting</t>
        </is>
      </c>
      <c r="N84" s="2" t="n"/>
      <c r="O84" s="2" t="n"/>
      <c r="P84" s="2" t="n"/>
      <c r="Q84" s="28" t="n"/>
      <c r="R84" s="29" t="n"/>
      <c r="S84" s="5" t="inlineStr">
        <is>
          <t>KIPP12HAD50CP002</t>
        </is>
      </c>
      <c r="T84" s="5">
        <f>LEFT(B84,7)</f>
        <v/>
      </c>
    </row>
    <row r="85" ht="30" customFormat="1" customHeight="1" s="5">
      <c r="A85" s="17" t="n">
        <v>84</v>
      </c>
      <c r="B85" s="14" t="n"/>
      <c r="C85" s="14" t="n"/>
      <c r="D85" s="37" t="n"/>
      <c r="E85" s="3" t="n"/>
      <c r="F85" s="3" t="n"/>
      <c r="G85" s="3" t="n"/>
      <c r="H85" s="3" t="n"/>
      <c r="I85" s="4" t="n"/>
      <c r="J85" s="19" t="n"/>
      <c r="K85" s="19" t="n"/>
      <c r="L85" s="20" t="n"/>
      <c r="M85" s="2" t="inlineStr">
        <is>
          <t>Waiting</t>
        </is>
      </c>
      <c r="N85" s="2" t="n"/>
      <c r="O85" s="2" t="n"/>
      <c r="P85" s="2" t="n"/>
      <c r="Q85" s="28" t="n"/>
      <c r="R85" s="29" t="n"/>
      <c r="S85" s="5" t="inlineStr">
        <is>
          <t>KIPP12HAD50CP003</t>
        </is>
      </c>
      <c r="T85" s="5">
        <f>LEFT(B85,7)</f>
        <v/>
      </c>
    </row>
    <row r="86" ht="30" customFormat="1" customHeight="1" s="5">
      <c r="A86" s="17" t="n">
        <v>85</v>
      </c>
      <c r="B86" s="14" t="n"/>
      <c r="C86" s="14" t="n"/>
      <c r="D86" s="37" t="n"/>
      <c r="E86" s="4" t="n"/>
      <c r="F86" s="4" t="n"/>
      <c r="G86" s="3" t="n"/>
      <c r="H86" s="3" t="n"/>
      <c r="I86" s="4" t="n"/>
      <c r="J86" s="19" t="n"/>
      <c r="K86" s="19" t="n"/>
      <c r="L86" s="20" t="n"/>
      <c r="M86" s="2" t="inlineStr">
        <is>
          <t>Waiting</t>
        </is>
      </c>
      <c r="N86" s="2" t="n"/>
      <c r="O86" s="2" t="n"/>
      <c r="P86" s="2" t="n"/>
      <c r="Q86" s="28" t="n"/>
      <c r="R86" s="29" t="n"/>
      <c r="S86" s="5" t="inlineStr">
        <is>
          <t>KIPP12LAB46CP001</t>
        </is>
      </c>
      <c r="T86" s="5">
        <f>LEFT(B86,7)</f>
        <v/>
      </c>
    </row>
    <row r="87" ht="30" customFormat="1" customHeight="1" s="5">
      <c r="A87" s="17" t="n">
        <v>86</v>
      </c>
      <c r="B87" s="14" t="n"/>
      <c r="C87" s="14" t="n"/>
      <c r="D87" s="37" t="n"/>
      <c r="E87" s="3" t="n"/>
      <c r="F87" s="4" t="n"/>
      <c r="G87" s="3" t="n"/>
      <c r="H87" s="3" t="n"/>
      <c r="I87" s="4" t="n"/>
      <c r="J87" s="19" t="n"/>
      <c r="K87" s="19" t="n"/>
      <c r="L87" s="20" t="n"/>
      <c r="M87" s="2" t="inlineStr">
        <is>
          <t>Waiting</t>
        </is>
      </c>
      <c r="N87" s="2" t="n"/>
      <c r="O87" s="2" t="n"/>
      <c r="P87" s="2" t="n"/>
      <c r="Q87" s="28" t="n"/>
      <c r="R87" s="29" t="n"/>
      <c r="S87" s="5" t="inlineStr">
        <is>
          <t>KIPP12LAB96CP001</t>
        </is>
      </c>
      <c r="T87" s="5">
        <f>LEFT(B87,7)</f>
        <v/>
      </c>
    </row>
    <row r="88" ht="30" customFormat="1" customHeight="1" s="5">
      <c r="A88" s="17" t="n">
        <v>87</v>
      </c>
      <c r="B88" s="14" t="n"/>
      <c r="C88" s="14" t="n"/>
      <c r="D88" s="37" t="n"/>
      <c r="E88" s="3" t="n"/>
      <c r="F88" s="3" t="n"/>
      <c r="G88" s="3" t="n"/>
      <c r="H88" s="3" t="n"/>
      <c r="I88" s="4" t="n"/>
      <c r="J88" s="19" t="n"/>
      <c r="K88" s="19" t="n"/>
      <c r="L88" s="19" t="n"/>
      <c r="M88" s="2" t="inlineStr">
        <is>
          <t>Waiting</t>
        </is>
      </c>
      <c r="N88" s="2" t="n"/>
      <c r="O88" s="2" t="n"/>
      <c r="P88" s="2" t="n"/>
      <c r="Q88" s="28" t="n"/>
      <c r="R88" s="29" t="n"/>
      <c r="S88" s="5" t="inlineStr">
        <is>
          <t>KIPP12LBA00CP101</t>
        </is>
      </c>
      <c r="T88" s="5">
        <f>LEFT(B88,7)</f>
        <v/>
      </c>
    </row>
    <row r="89" ht="30" customFormat="1" customHeight="1" s="5">
      <c r="A89" s="17" t="n">
        <v>88</v>
      </c>
      <c r="B89" s="14" t="n"/>
      <c r="C89" s="14" t="n"/>
      <c r="D89" s="37" t="n"/>
      <c r="E89" s="3" t="n"/>
      <c r="F89" s="3" t="n"/>
      <c r="G89" s="3" t="n"/>
      <c r="H89" s="3" t="n"/>
      <c r="I89" s="4" t="n"/>
      <c r="J89" s="19" t="n"/>
      <c r="K89" s="19" t="n"/>
      <c r="L89" s="20" t="n"/>
      <c r="M89" s="2" t="inlineStr">
        <is>
          <t>Waiting</t>
        </is>
      </c>
      <c r="N89" s="2" t="n"/>
      <c r="O89" s="2" t="n"/>
      <c r="P89" s="2" t="n"/>
      <c r="Q89" s="28" t="n"/>
      <c r="R89" s="29" t="n"/>
      <c r="S89" s="5" t="inlineStr">
        <is>
          <t>KIPP12LBA10CP001</t>
        </is>
      </c>
      <c r="T89" s="5">
        <f>LEFT(B89,7)</f>
        <v/>
      </c>
    </row>
    <row r="90" ht="30" customFormat="1" customHeight="1" s="5">
      <c r="A90" s="17" t="n">
        <v>89</v>
      </c>
      <c r="B90" s="14" t="n"/>
      <c r="C90" s="14" t="n"/>
      <c r="D90" s="37" t="n"/>
      <c r="E90" s="3" t="n"/>
      <c r="F90" s="3" t="n"/>
      <c r="G90" s="3" t="n"/>
      <c r="H90" s="3" t="n"/>
      <c r="I90" s="4" t="n"/>
      <c r="J90" s="19" t="n"/>
      <c r="K90" s="19" t="n"/>
      <c r="L90" s="19" t="n"/>
      <c r="M90" s="2" t="inlineStr">
        <is>
          <t>Waiting</t>
        </is>
      </c>
      <c r="N90" s="2" t="n"/>
      <c r="O90" s="2" t="n"/>
      <c r="P90" s="2" t="n"/>
      <c r="Q90" s="28" t="n"/>
      <c r="R90" s="29" t="n"/>
      <c r="S90" s="5" t="inlineStr">
        <is>
          <t>KIPP12LBA20CP101</t>
        </is>
      </c>
      <c r="T90" s="5">
        <f>LEFT(B90,7)</f>
        <v/>
      </c>
    </row>
    <row r="91" ht="30" customFormat="1" customHeight="1" s="5">
      <c r="A91" s="17" t="n">
        <v>90</v>
      </c>
      <c r="B91" s="14" t="n"/>
      <c r="C91" s="14" t="n"/>
      <c r="D91" s="37" t="n"/>
      <c r="E91" s="3" t="n"/>
      <c r="F91" s="3" t="n"/>
      <c r="G91" s="3" t="n"/>
      <c r="H91" s="3" t="n"/>
      <c r="I91" s="4" t="n"/>
      <c r="J91" s="19" t="n"/>
      <c r="K91" s="19" t="n"/>
      <c r="L91" s="19" t="n"/>
      <c r="M91" s="2" t="inlineStr">
        <is>
          <t>Waiting</t>
        </is>
      </c>
      <c r="N91" s="2" t="n"/>
      <c r="O91" s="2" t="n"/>
      <c r="P91" s="2" t="n"/>
      <c r="Q91" s="28" t="n"/>
      <c r="R91" s="29" t="n"/>
      <c r="S91" s="5" t="inlineStr">
        <is>
          <t>KIPP12LBA20CP102</t>
        </is>
      </c>
      <c r="T91" s="5">
        <f>LEFT(B91,7)</f>
        <v/>
      </c>
    </row>
    <row r="92" ht="30" customFormat="1" customHeight="1" s="5">
      <c r="A92" s="17" t="n">
        <v>91</v>
      </c>
      <c r="B92" s="14" t="n"/>
      <c r="C92" s="14" t="n"/>
      <c r="D92" s="37" t="n"/>
      <c r="E92" s="3" t="n"/>
      <c r="F92" s="3" t="n"/>
      <c r="G92" s="3" t="n"/>
      <c r="H92" s="3" t="n"/>
      <c r="I92" s="4" t="n"/>
      <c r="J92" s="19" t="n"/>
      <c r="K92" s="19" t="n"/>
      <c r="L92" s="20" t="n"/>
      <c r="M92" s="2" t="inlineStr">
        <is>
          <t>Waiting</t>
        </is>
      </c>
      <c r="N92" s="2" t="n"/>
      <c r="O92" s="2" t="n"/>
      <c r="P92" s="2" t="n"/>
      <c r="Q92" s="28" t="n"/>
      <c r="R92" s="29" t="n"/>
      <c r="S92" s="5" t="inlineStr">
        <is>
          <t>KIPP12LBA30CP001</t>
        </is>
      </c>
      <c r="T92" s="5">
        <f>LEFT(B92,7)</f>
        <v/>
      </c>
    </row>
    <row r="93" ht="30" customFormat="1" customHeight="1" s="5">
      <c r="A93" s="17" t="n">
        <v>92</v>
      </c>
      <c r="B93" s="14" t="n"/>
      <c r="C93" s="14" t="n"/>
      <c r="D93" s="37" t="n"/>
      <c r="E93" s="3" t="n"/>
      <c r="F93" s="3" t="n"/>
      <c r="G93" s="3" t="n"/>
      <c r="H93" s="3" t="n"/>
      <c r="I93" s="4" t="n"/>
      <c r="J93" s="19" t="n"/>
      <c r="K93" s="19" t="n"/>
      <c r="L93" s="19" t="n"/>
      <c r="M93" s="2" t="inlineStr">
        <is>
          <t>Waiting</t>
        </is>
      </c>
      <c r="N93" s="2" t="n"/>
      <c r="O93" s="2" t="n"/>
      <c r="P93" s="2" t="n"/>
      <c r="Q93" s="28" t="n"/>
      <c r="R93" s="29" t="n"/>
      <c r="S93" s="5" t="inlineStr">
        <is>
          <t>KIPP12LBA31CP101</t>
        </is>
      </c>
      <c r="T93" s="5">
        <f>LEFT(B93,7)</f>
        <v/>
      </c>
    </row>
    <row r="94" ht="30" customFormat="1" customHeight="1" s="5">
      <c r="A94" s="17" t="n">
        <v>93</v>
      </c>
      <c r="B94" s="14" t="n"/>
      <c r="C94" s="14" t="n"/>
      <c r="D94" s="37" t="n"/>
      <c r="E94" s="3" t="n"/>
      <c r="F94" s="3" t="n"/>
      <c r="G94" s="3" t="n"/>
      <c r="H94" s="3" t="n"/>
      <c r="I94" s="4" t="n"/>
      <c r="J94" s="19" t="n"/>
      <c r="K94" s="19" t="n"/>
      <c r="L94" s="19" t="n"/>
      <c r="M94" s="2" t="inlineStr">
        <is>
          <t>Waiting</t>
        </is>
      </c>
      <c r="N94" s="2" t="n"/>
      <c r="O94" s="2" t="n"/>
      <c r="P94" s="2" t="n"/>
      <c r="Q94" s="28" t="n"/>
      <c r="R94" s="29" t="n"/>
      <c r="S94" s="5" t="inlineStr">
        <is>
          <t>KIPP12LBA40CP101</t>
        </is>
      </c>
      <c r="T94" s="5">
        <f>LEFT(B94,7)</f>
        <v/>
      </c>
    </row>
    <row r="95" ht="30" customFormat="1" customHeight="1" s="5">
      <c r="A95" s="17" t="n">
        <v>94</v>
      </c>
      <c r="B95" s="14" t="n"/>
      <c r="C95" s="14" t="n"/>
      <c r="D95" s="37" t="n"/>
      <c r="E95" s="3" t="n"/>
      <c r="F95" s="3" t="n"/>
      <c r="G95" s="3" t="n"/>
      <c r="H95" s="3" t="n"/>
      <c r="I95" s="4" t="n"/>
      <c r="J95" s="19" t="n"/>
      <c r="K95" s="19" t="n"/>
      <c r="L95" s="19" t="n"/>
      <c r="M95" s="2" t="inlineStr">
        <is>
          <t>Waiting</t>
        </is>
      </c>
      <c r="N95" s="2" t="n"/>
      <c r="O95" s="2" t="n"/>
      <c r="P95" s="2" t="n"/>
      <c r="Q95" s="28" t="n"/>
      <c r="R95" s="29" t="n"/>
      <c r="S95" s="5" t="inlineStr">
        <is>
          <t>KIPP12LBA40CP102</t>
        </is>
      </c>
      <c r="T95" s="5">
        <f>LEFT(B95,7)</f>
        <v/>
      </c>
    </row>
    <row r="96" ht="30" customFormat="1" customHeight="1" s="5">
      <c r="A96" s="17" t="n">
        <v>95</v>
      </c>
      <c r="B96" s="14" t="n"/>
      <c r="C96" s="14" t="n"/>
      <c r="D96" s="37" t="n"/>
      <c r="E96" s="3" t="n"/>
      <c r="F96" s="3" t="n"/>
      <c r="G96" s="3" t="n"/>
      <c r="H96" s="3" t="n"/>
      <c r="I96" s="4" t="n"/>
      <c r="J96" s="19" t="n"/>
      <c r="K96" s="19" t="n"/>
      <c r="L96" s="20" t="n"/>
      <c r="M96" s="2" t="inlineStr">
        <is>
          <t>Waiting</t>
        </is>
      </c>
      <c r="N96" s="2" t="n"/>
      <c r="O96" s="2" t="n"/>
      <c r="P96" s="2" t="n"/>
      <c r="Q96" s="28" t="n"/>
      <c r="R96" s="29" t="n"/>
      <c r="S96" s="5" t="inlineStr">
        <is>
          <t>KIPP12LBA50CP001</t>
        </is>
      </c>
      <c r="T96" s="5">
        <f>LEFT(B96,7)</f>
        <v/>
      </c>
    </row>
    <row r="97" ht="30" customFormat="1" customHeight="1" s="5">
      <c r="A97" s="17" t="n">
        <v>96</v>
      </c>
      <c r="B97" s="14" t="n"/>
      <c r="C97" s="14" t="n"/>
      <c r="D97" s="37" t="n"/>
      <c r="E97" s="3" t="n"/>
      <c r="F97" s="3" t="n"/>
      <c r="G97" s="3" t="n"/>
      <c r="H97" s="3" t="n"/>
      <c r="I97" s="4" t="n"/>
      <c r="J97" s="19" t="n"/>
      <c r="K97" s="19" t="n"/>
      <c r="L97" s="19" t="n"/>
      <c r="M97" s="2" t="inlineStr">
        <is>
          <t>Waiting</t>
        </is>
      </c>
      <c r="N97" s="2" t="n"/>
      <c r="O97" s="2" t="n"/>
      <c r="P97" s="2" t="n"/>
      <c r="Q97" s="28" t="n"/>
      <c r="R97" s="29" t="n"/>
      <c r="S97" s="5" t="inlineStr">
        <is>
          <t>KIPP12LBB00CP101</t>
        </is>
      </c>
      <c r="T97" s="5">
        <f>LEFT(B97,7)</f>
        <v/>
      </c>
    </row>
    <row r="98" ht="30" customFormat="1" customHeight="1" s="5">
      <c r="A98" s="17" t="n">
        <v>97</v>
      </c>
      <c r="B98" s="14" t="n"/>
      <c r="C98" s="14" t="n"/>
      <c r="D98" s="37" t="n"/>
      <c r="E98" s="3" t="n"/>
      <c r="F98" s="3" t="n"/>
      <c r="G98" s="3" t="n"/>
      <c r="H98" s="3" t="n"/>
      <c r="I98" s="4" t="n"/>
      <c r="J98" s="19" t="n"/>
      <c r="K98" s="19" t="n"/>
      <c r="L98" s="19" t="n"/>
      <c r="M98" s="2" t="inlineStr">
        <is>
          <t>Waiting</t>
        </is>
      </c>
      <c r="N98" s="2" t="n"/>
      <c r="O98" s="2" t="n"/>
      <c r="P98" s="2" t="n"/>
      <c r="Q98" s="28" t="n"/>
      <c r="R98" s="29" t="n"/>
      <c r="S98" s="5" t="inlineStr">
        <is>
          <t>KIPP12LBB20CP101</t>
        </is>
      </c>
      <c r="T98" s="5">
        <f>LEFT(B98,7)</f>
        <v/>
      </c>
    </row>
    <row r="99" ht="30" customFormat="1" customHeight="1" s="5">
      <c r="A99" s="17" t="n">
        <v>98</v>
      </c>
      <c r="B99" s="14" t="n"/>
      <c r="C99" s="14" t="n"/>
      <c r="D99" s="37" t="n"/>
      <c r="E99" s="3" t="n"/>
      <c r="F99" s="3" t="n"/>
      <c r="G99" s="3" t="n"/>
      <c r="H99" s="3" t="n"/>
      <c r="I99" s="4" t="n"/>
      <c r="J99" s="19" t="n"/>
      <c r="K99" s="19" t="n"/>
      <c r="L99" s="19" t="n"/>
      <c r="M99" s="2" t="inlineStr">
        <is>
          <t>Waiting</t>
        </is>
      </c>
      <c r="N99" s="2" t="n"/>
      <c r="O99" s="2" t="n"/>
      <c r="P99" s="2" t="n"/>
      <c r="Q99" s="28" t="n"/>
      <c r="R99" s="29" t="n"/>
      <c r="S99" s="5" t="inlineStr">
        <is>
          <t>KIPP12LBB20CP102</t>
        </is>
      </c>
      <c r="T99" s="5">
        <f>LEFT(B99,7)</f>
        <v/>
      </c>
    </row>
    <row r="100" ht="30" customFormat="1" customHeight="1" s="5">
      <c r="A100" s="17" t="n">
        <v>99</v>
      </c>
      <c r="B100" s="14" t="n"/>
      <c r="C100" s="14" t="n"/>
      <c r="D100" s="37" t="n"/>
      <c r="E100" s="3" t="n"/>
      <c r="F100" s="3" t="n"/>
      <c r="G100" s="3" t="n"/>
      <c r="H100" s="3" t="n"/>
      <c r="I100" s="4" t="n"/>
      <c r="J100" s="19" t="n"/>
      <c r="K100" s="19" t="n"/>
      <c r="L100" s="20" t="n"/>
      <c r="M100" s="2" t="inlineStr">
        <is>
          <t>Waiting</t>
        </is>
      </c>
      <c r="N100" s="2" t="n"/>
      <c r="O100" s="2" t="n"/>
      <c r="P100" s="2" t="n"/>
      <c r="Q100" s="28" t="n"/>
      <c r="R100" s="29" t="n"/>
      <c r="S100" s="5" t="inlineStr">
        <is>
          <t>KIPP12LBB40CP001</t>
        </is>
      </c>
      <c r="T100" s="5">
        <f>LEFT(B100,7)</f>
        <v/>
      </c>
    </row>
    <row r="101" ht="30" customFormat="1" customHeight="1" s="5">
      <c r="A101" s="17" t="n">
        <v>100</v>
      </c>
      <c r="B101" s="14" t="n"/>
      <c r="C101" s="14" t="n"/>
      <c r="D101" s="37" t="n"/>
      <c r="E101" s="3" t="n"/>
      <c r="F101" s="3" t="n"/>
      <c r="G101" s="3" t="n"/>
      <c r="H101" s="3" t="n"/>
      <c r="I101" s="4" t="n"/>
      <c r="J101" s="19" t="n"/>
      <c r="K101" s="19" t="n"/>
      <c r="L101" s="19" t="n"/>
      <c r="M101" s="2" t="inlineStr">
        <is>
          <t>Waiting</t>
        </is>
      </c>
      <c r="N101" s="2" t="n"/>
      <c r="O101" s="2" t="n"/>
      <c r="P101" s="2" t="n"/>
      <c r="Q101" s="28" t="n"/>
      <c r="R101" s="29" t="n"/>
      <c r="S101" s="5" t="inlineStr">
        <is>
          <t>KIPP12LBC00CP101</t>
        </is>
      </c>
      <c r="T101" s="5">
        <f>LEFT(B101,7)</f>
        <v/>
      </c>
    </row>
    <row r="102" ht="30" customFormat="1" customHeight="1" s="5">
      <c r="A102" s="17" t="n">
        <v>101</v>
      </c>
      <c r="B102" s="14" t="n"/>
      <c r="C102" s="14" t="n"/>
      <c r="D102" s="37" t="n"/>
      <c r="E102" s="4" t="n"/>
      <c r="F102" s="4" t="n"/>
      <c r="G102" s="3" t="n"/>
      <c r="H102" s="3" t="n"/>
      <c r="I102" s="4" t="n"/>
      <c r="J102" s="19" t="n"/>
      <c r="K102" s="19" t="n"/>
      <c r="L102" s="20" t="n"/>
      <c r="M102" s="2" t="inlineStr">
        <is>
          <t>Waiting</t>
        </is>
      </c>
      <c r="N102" s="2" t="n"/>
      <c r="O102" s="2" t="n"/>
      <c r="P102" s="2" t="n"/>
      <c r="Q102" s="28" t="n"/>
      <c r="R102" s="29" t="n"/>
      <c r="S102" s="5" t="inlineStr">
        <is>
          <t>KIPP12LBC30CP001</t>
        </is>
      </c>
      <c r="T102" s="5">
        <f>LEFT(B102,7)</f>
        <v/>
      </c>
    </row>
    <row r="103" ht="30" customFormat="1" customHeight="1" s="5">
      <c r="A103" s="17" t="n">
        <v>102</v>
      </c>
      <c r="B103" s="14" t="n"/>
      <c r="C103" s="14" t="n"/>
      <c r="D103" s="37" t="n"/>
      <c r="E103" s="4" t="n"/>
      <c r="F103" s="4" t="n"/>
      <c r="G103" s="4" t="n"/>
      <c r="H103" s="4" t="n"/>
      <c r="I103" s="4" t="n"/>
      <c r="J103" s="19" t="n"/>
      <c r="K103" s="19" t="n"/>
      <c r="L103" s="19" t="n"/>
      <c r="M103" s="2" t="inlineStr">
        <is>
          <t>Waiting</t>
        </is>
      </c>
      <c r="N103" s="2" t="n"/>
      <c r="O103" s="2" t="n"/>
      <c r="P103" s="2" t="n"/>
      <c r="Q103" s="28" t="n"/>
      <c r="R103" s="29" t="n"/>
      <c r="S103" s="5" t="inlineStr">
        <is>
          <t>KIPP12LBG91CP001</t>
        </is>
      </c>
      <c r="T103" s="5">
        <f>LEFT(B103,7)</f>
        <v/>
      </c>
    </row>
    <row r="104" ht="30" customFormat="1" customHeight="1" s="5">
      <c r="A104" s="17" t="n">
        <v>103</v>
      </c>
      <c r="B104" s="14" t="n"/>
      <c r="C104" s="14" t="n"/>
      <c r="D104" s="37" t="n"/>
      <c r="E104" s="4" t="n"/>
      <c r="F104" s="4" t="n"/>
      <c r="G104" s="4" t="n"/>
      <c r="H104" s="4" t="n"/>
      <c r="I104" s="4" t="n"/>
      <c r="J104" s="19" t="n"/>
      <c r="K104" s="19" t="n"/>
      <c r="L104" s="19" t="n"/>
      <c r="M104" s="2" t="inlineStr">
        <is>
          <t>Waiting</t>
        </is>
      </c>
      <c r="N104" s="2" t="n"/>
      <c r="O104" s="2" t="n"/>
      <c r="P104" s="2" t="n"/>
      <c r="Q104" s="28" t="n"/>
      <c r="R104" s="29" t="n"/>
      <c r="S104" s="5" t="inlineStr">
        <is>
          <t>KIPP12LBG91CP002</t>
        </is>
      </c>
      <c r="T104" s="5">
        <f>LEFT(B104,7)</f>
        <v/>
      </c>
    </row>
    <row r="105" ht="30" customFormat="1" customHeight="1" s="5">
      <c r="A105" s="17" t="n">
        <v>104</v>
      </c>
      <c r="B105" s="14" t="n"/>
      <c r="C105" s="14" t="n"/>
      <c r="D105" s="37" t="n"/>
      <c r="E105" s="3" t="n"/>
      <c r="F105" s="3" t="n"/>
      <c r="G105" s="3" t="n"/>
      <c r="H105" s="3" t="n"/>
      <c r="I105" s="4" t="n"/>
      <c r="J105" s="19" t="n"/>
      <c r="K105" s="19" t="n"/>
      <c r="L105" s="19" t="n"/>
      <c r="M105" s="2" t="inlineStr">
        <is>
          <t>Waiting</t>
        </is>
      </c>
      <c r="N105" s="2" t="n"/>
      <c r="O105" s="2" t="n"/>
      <c r="P105" s="2" t="n"/>
      <c r="Q105" s="28" t="n"/>
      <c r="R105" s="29" t="n"/>
      <c r="S105" s="5" t="inlineStr">
        <is>
          <t>KIPP00GHC24CF101</t>
        </is>
      </c>
      <c r="T105" s="5">
        <f>LEFT(B105,7)</f>
        <v/>
      </c>
    </row>
    <row r="106" ht="30" customFormat="1" customHeight="1" s="5">
      <c r="A106" s="17" t="n">
        <v>105</v>
      </c>
      <c r="B106" s="14" t="n"/>
      <c r="C106" s="14" t="n"/>
      <c r="D106" s="37" t="n"/>
      <c r="E106" s="3" t="n"/>
      <c r="F106" s="3" t="n"/>
      <c r="G106" s="3" t="n"/>
      <c r="H106" s="3" t="n"/>
      <c r="I106" s="4" t="n"/>
      <c r="J106" s="19" t="n"/>
      <c r="K106" s="19" t="n"/>
      <c r="L106" s="19" t="n"/>
      <c r="M106" s="2" t="inlineStr">
        <is>
          <t>Waiting</t>
        </is>
      </c>
      <c r="N106" s="2" t="n"/>
      <c r="O106" s="2" t="n"/>
      <c r="P106" s="2" t="n"/>
      <c r="Q106" s="28" t="n"/>
      <c r="R106" s="29" t="n"/>
      <c r="S106" s="5" t="inlineStr">
        <is>
          <t>KIPP10LAB11CF101</t>
        </is>
      </c>
      <c r="T106" s="5">
        <f>LEFT(B106,7)</f>
        <v/>
      </c>
    </row>
    <row r="107" ht="30" customFormat="1" customHeight="1" s="5">
      <c r="A107" s="17" t="n">
        <v>106</v>
      </c>
      <c r="B107" s="14" t="n"/>
      <c r="C107" s="14" t="n"/>
      <c r="D107" s="37" t="n"/>
      <c r="E107" s="3" t="n"/>
      <c r="F107" s="3" t="n"/>
      <c r="G107" s="3" t="n"/>
      <c r="H107" s="3" t="n"/>
      <c r="I107" s="4" t="n"/>
      <c r="J107" s="19" t="n"/>
      <c r="K107" s="19" t="n"/>
      <c r="L107" s="19" t="n"/>
      <c r="M107" s="2" t="inlineStr">
        <is>
          <t>Waiting</t>
        </is>
      </c>
      <c r="N107" s="2" t="n"/>
      <c r="O107" s="2" t="n"/>
      <c r="P107" s="2" t="n"/>
      <c r="Q107" s="28" t="n"/>
      <c r="R107" s="29" t="n"/>
      <c r="S107" s="5" t="inlineStr">
        <is>
          <t>KIPP10LAB11CF102</t>
        </is>
      </c>
      <c r="T107" s="5">
        <f>LEFT(B107,7)</f>
        <v/>
      </c>
    </row>
    <row r="108" ht="30" customFormat="1" customHeight="1" s="5">
      <c r="A108" s="17" t="n">
        <v>107</v>
      </c>
      <c r="B108" s="14" t="n"/>
      <c r="C108" s="14" t="n"/>
      <c r="D108" s="37" t="n"/>
      <c r="E108" s="3" t="n"/>
      <c r="F108" s="3" t="n"/>
      <c r="G108" s="3" t="n"/>
      <c r="H108" s="3" t="n"/>
      <c r="I108" s="4" t="n"/>
      <c r="J108" s="19" t="n"/>
      <c r="K108" s="19" t="n"/>
      <c r="L108" s="19" t="n"/>
      <c r="M108" s="2" t="inlineStr">
        <is>
          <t>Waiting</t>
        </is>
      </c>
      <c r="N108" s="2" t="n"/>
      <c r="O108" s="2" t="n"/>
      <c r="P108" s="2" t="n"/>
      <c r="Q108" s="28" t="n"/>
      <c r="R108" s="29" t="n"/>
      <c r="S108" s="5" t="inlineStr">
        <is>
          <t>KIPP10LAB12CF101</t>
        </is>
      </c>
      <c r="T108" s="5">
        <f>LEFT(B108,7)</f>
        <v/>
      </c>
    </row>
    <row r="109" ht="30" customFormat="1" customHeight="1" s="5">
      <c r="A109" s="17" t="n">
        <v>108</v>
      </c>
      <c r="B109" s="14" t="n"/>
      <c r="C109" s="14" t="n"/>
      <c r="D109" s="37" t="n"/>
      <c r="E109" s="3" t="n"/>
      <c r="F109" s="3" t="n"/>
      <c r="G109" s="3" t="n"/>
      <c r="H109" s="3" t="n"/>
      <c r="I109" s="4" t="n"/>
      <c r="J109" s="19" t="n"/>
      <c r="K109" s="19" t="n"/>
      <c r="L109" s="19" t="n"/>
      <c r="M109" s="2" t="inlineStr">
        <is>
          <t>Waiting</t>
        </is>
      </c>
      <c r="N109" s="2" t="n"/>
      <c r="O109" s="2" t="n"/>
      <c r="P109" s="2" t="n"/>
      <c r="Q109" s="28" t="n"/>
      <c r="R109" s="29" t="n"/>
      <c r="S109" s="5" t="inlineStr">
        <is>
          <t>KIPP10LAB12CF102</t>
        </is>
      </c>
      <c r="T109" s="5">
        <f>LEFT(B109,7)</f>
        <v/>
      </c>
    </row>
    <row r="110" ht="30" customFormat="1" customHeight="1" s="5">
      <c r="A110" s="17" t="n">
        <v>109</v>
      </c>
      <c r="B110" s="14" t="n"/>
      <c r="C110" s="14" t="n"/>
      <c r="D110" s="37" t="n"/>
      <c r="E110" s="3" t="n"/>
      <c r="F110" s="3" t="n"/>
      <c r="G110" s="3" t="n"/>
      <c r="H110" s="3" t="n"/>
      <c r="I110" s="4" t="n"/>
      <c r="J110" s="19" t="n"/>
      <c r="K110" s="19" t="n"/>
      <c r="L110" s="19" t="n"/>
      <c r="M110" s="2" t="inlineStr">
        <is>
          <t>Waiting</t>
        </is>
      </c>
      <c r="N110" s="2" t="n"/>
      <c r="O110" s="2" t="n"/>
      <c r="P110" s="2" t="n"/>
      <c r="Q110" s="28" t="n"/>
      <c r="R110" s="29" t="n"/>
      <c r="S110" s="5" t="inlineStr">
        <is>
          <t>KIPP10LAB13CF101</t>
        </is>
      </c>
      <c r="T110" s="5">
        <f>LEFT(B110,7)</f>
        <v/>
      </c>
    </row>
    <row r="111" ht="30" customFormat="1" customHeight="1" s="5">
      <c r="A111" s="17" t="n">
        <v>110</v>
      </c>
      <c r="B111" s="14" t="n"/>
      <c r="C111" s="14" t="n"/>
      <c r="D111" s="37" t="n"/>
      <c r="E111" s="3" t="n"/>
      <c r="F111" s="3" t="n"/>
      <c r="G111" s="3" t="n"/>
      <c r="H111" s="3" t="n"/>
      <c r="I111" s="4" t="n"/>
      <c r="J111" s="19" t="n"/>
      <c r="K111" s="19" t="n"/>
      <c r="L111" s="19" t="n"/>
      <c r="M111" s="2" t="inlineStr">
        <is>
          <t>Waiting</t>
        </is>
      </c>
      <c r="N111" s="2" t="n"/>
      <c r="O111" s="2" t="n"/>
      <c r="P111" s="2" t="n"/>
      <c r="Q111" s="28" t="n"/>
      <c r="R111" s="29" t="n"/>
      <c r="S111" s="5" t="inlineStr">
        <is>
          <t>KIPP10LAB13CF102</t>
        </is>
      </c>
      <c r="T111" s="5">
        <f>LEFT(B111,7)</f>
        <v/>
      </c>
    </row>
    <row r="112" ht="30" customFormat="1" customHeight="1" s="5">
      <c r="A112" s="17" t="n">
        <v>111</v>
      </c>
      <c r="B112" s="14" t="n"/>
      <c r="C112" s="14" t="n"/>
      <c r="D112" s="37" t="n"/>
      <c r="E112" s="3" t="n"/>
      <c r="F112" s="3" t="n"/>
      <c r="G112" s="3" t="n"/>
      <c r="H112" s="3" t="n"/>
      <c r="I112" s="4" t="n"/>
      <c r="J112" s="19" t="n"/>
      <c r="K112" s="19" t="n"/>
      <c r="L112" s="19" t="n"/>
      <c r="M112" s="2" t="inlineStr">
        <is>
          <t>Waiting</t>
        </is>
      </c>
      <c r="N112" s="2" t="n"/>
      <c r="O112" s="2" t="n"/>
      <c r="P112" s="2" t="n"/>
      <c r="Q112" s="28" t="n"/>
      <c r="R112" s="29" t="n"/>
      <c r="S112" s="5" t="inlineStr">
        <is>
          <t>KIPP10LAB24CF101</t>
        </is>
      </c>
      <c r="T112" s="5">
        <f>LEFT(B112,7)</f>
        <v/>
      </c>
    </row>
    <row r="113" ht="30" customFormat="1" customHeight="1" s="5">
      <c r="A113" s="17" t="n">
        <v>112</v>
      </c>
      <c r="B113" s="14" t="n"/>
      <c r="C113" s="14" t="n"/>
      <c r="D113" s="37" t="n"/>
      <c r="E113" s="3" t="n"/>
      <c r="F113" s="3" t="n"/>
      <c r="G113" s="3" t="n"/>
      <c r="H113" s="3" t="n"/>
      <c r="I113" s="4" t="n"/>
      <c r="J113" s="19" t="n"/>
      <c r="K113" s="19" t="n"/>
      <c r="L113" s="19" t="n"/>
      <c r="M113" s="2" t="inlineStr">
        <is>
          <t>Waiting</t>
        </is>
      </c>
      <c r="N113" s="2" t="n"/>
      <c r="O113" s="2" t="n"/>
      <c r="P113" s="2" t="n"/>
      <c r="Q113" s="28" t="n"/>
      <c r="R113" s="29" t="n"/>
      <c r="S113" s="5" t="inlineStr">
        <is>
          <t>KIPP10LCA10CF101</t>
        </is>
      </c>
      <c r="T113" s="5">
        <f>LEFT(B113,7)</f>
        <v/>
      </c>
    </row>
    <row r="114" ht="30" customFormat="1" customHeight="1" s="5">
      <c r="A114" s="17" t="n">
        <v>113</v>
      </c>
      <c r="B114" s="14" t="n"/>
      <c r="C114" s="14" t="n"/>
      <c r="D114" s="37" t="n"/>
      <c r="E114" s="3" t="n"/>
      <c r="F114" s="3" t="n"/>
      <c r="G114" s="3" t="n"/>
      <c r="H114" s="3" t="n"/>
      <c r="I114" s="4" t="n"/>
      <c r="J114" s="19" t="n"/>
      <c r="K114" s="19" t="n"/>
      <c r="L114" s="19" t="n"/>
      <c r="M114" s="2" t="inlineStr">
        <is>
          <t>Waiting</t>
        </is>
      </c>
      <c r="N114" s="2" t="n"/>
      <c r="O114" s="2" t="n"/>
      <c r="P114" s="2" t="n"/>
      <c r="Q114" s="28" t="n"/>
      <c r="R114" s="29" t="n"/>
      <c r="S114" s="5" t="inlineStr">
        <is>
          <t>KIPP10LCA10CF102</t>
        </is>
      </c>
      <c r="T114" s="5">
        <f>LEFT(B114,7)</f>
        <v/>
      </c>
    </row>
    <row r="115" ht="30" customFormat="1" customHeight="1" s="5">
      <c r="A115" s="17" t="n">
        <v>114</v>
      </c>
      <c r="B115" s="14" t="n"/>
      <c r="C115" s="14" t="n"/>
      <c r="D115" s="37" t="n"/>
      <c r="E115" s="3" t="n"/>
      <c r="F115" s="3" t="n"/>
      <c r="G115" s="3" t="n"/>
      <c r="H115" s="3" t="n"/>
      <c r="I115" s="4" t="n"/>
      <c r="J115" s="19" t="n"/>
      <c r="K115" s="19" t="n"/>
      <c r="L115" s="19" t="n"/>
      <c r="M115" s="2" t="inlineStr">
        <is>
          <t>Waiting</t>
        </is>
      </c>
      <c r="N115" s="2" t="n"/>
      <c r="O115" s="2" t="n"/>
      <c r="P115" s="2" t="n"/>
      <c r="Q115" s="28" t="n"/>
      <c r="R115" s="29" t="n"/>
      <c r="S115" s="5" t="inlineStr">
        <is>
          <t>KIPP10LCA20CF101</t>
        </is>
      </c>
      <c r="T115" s="5">
        <f>LEFT(B115,7)</f>
        <v/>
      </c>
    </row>
    <row r="116" ht="30" customFormat="1" customHeight="1" s="5">
      <c r="A116" s="17" t="n">
        <v>115</v>
      </c>
      <c r="B116" s="14" t="n"/>
      <c r="C116" s="14" t="n"/>
      <c r="D116" s="37" t="n"/>
      <c r="E116" s="3" t="n"/>
      <c r="F116" s="3" t="n"/>
      <c r="G116" s="3" t="n"/>
      <c r="H116" s="3" t="n"/>
      <c r="I116" s="4" t="n"/>
      <c r="J116" s="19" t="n"/>
      <c r="K116" s="19" t="n"/>
      <c r="L116" s="20" t="n"/>
      <c r="M116" s="2" t="inlineStr">
        <is>
          <t>Waiting</t>
        </is>
      </c>
      <c r="N116" s="2" t="n"/>
      <c r="O116" s="2" t="n"/>
      <c r="P116" s="2" t="n"/>
      <c r="Q116" s="28" t="n"/>
      <c r="R116" s="29" t="n"/>
      <c r="S116" s="5" t="inlineStr">
        <is>
          <t>KIPP11HAC22CF002</t>
        </is>
      </c>
      <c r="T116" s="5">
        <f>LEFT(B116,7)</f>
        <v/>
      </c>
    </row>
    <row r="117" ht="30" customFormat="1" customHeight="1" s="5">
      <c r="A117" s="17" t="n">
        <v>116</v>
      </c>
      <c r="B117" s="14" t="n"/>
      <c r="C117" s="14" t="n"/>
      <c r="D117" s="37" t="n"/>
      <c r="E117" s="3" t="n"/>
      <c r="F117" s="3" t="n"/>
      <c r="G117" s="3" t="n"/>
      <c r="H117" s="3" t="n"/>
      <c r="I117" s="4" t="n"/>
      <c r="J117" s="19" t="n"/>
      <c r="K117" s="19" t="n"/>
      <c r="L117" s="20" t="n"/>
      <c r="M117" s="2" t="inlineStr">
        <is>
          <t>Waiting</t>
        </is>
      </c>
      <c r="N117" s="2" t="n"/>
      <c r="O117" s="2" t="n"/>
      <c r="P117" s="2" t="n"/>
      <c r="Q117" s="28" t="n"/>
      <c r="R117" s="29" t="n"/>
      <c r="S117" s="5" t="inlineStr">
        <is>
          <t>KIPP11HAC22CF003</t>
        </is>
      </c>
      <c r="T117" s="5">
        <f>LEFT(B117,7)</f>
        <v/>
      </c>
    </row>
    <row r="118" ht="30" customFormat="1" customHeight="1" s="5">
      <c r="A118" s="17" t="n">
        <v>117</v>
      </c>
      <c r="B118" s="14" t="n"/>
      <c r="C118" s="14" t="n"/>
      <c r="D118" s="37" t="n"/>
      <c r="E118" s="3" t="n"/>
      <c r="F118" s="3" t="n"/>
      <c r="G118" s="3" t="n"/>
      <c r="H118" s="3" t="n"/>
      <c r="I118" s="4" t="n"/>
      <c r="J118" s="19" t="n"/>
      <c r="K118" s="19" t="n"/>
      <c r="L118" s="20" t="n"/>
      <c r="M118" s="2" t="inlineStr">
        <is>
          <t>Waiting</t>
        </is>
      </c>
      <c r="N118" s="2" t="n"/>
      <c r="O118" s="2" t="n"/>
      <c r="P118" s="2" t="n"/>
      <c r="Q118" s="28" t="n"/>
      <c r="R118" s="29" t="n"/>
      <c r="S118" s="5" t="inlineStr">
        <is>
          <t>KIPP11LAB20CF101</t>
        </is>
      </c>
      <c r="T118" s="5">
        <f>LEFT(B118,7)</f>
        <v/>
      </c>
    </row>
    <row r="119" ht="30" customFormat="1" customHeight="1" s="5">
      <c r="A119" s="17" t="n">
        <v>118</v>
      </c>
      <c r="B119" s="14" t="n"/>
      <c r="C119" s="14" t="n"/>
      <c r="D119" s="37" t="n"/>
      <c r="E119" s="3" t="n"/>
      <c r="F119" s="3" t="n"/>
      <c r="G119" s="3" t="n"/>
      <c r="H119" s="3" t="n"/>
      <c r="I119" s="4" t="n"/>
      <c r="J119" s="19" t="n"/>
      <c r="K119" s="19" t="n"/>
      <c r="L119" s="19" t="n"/>
      <c r="M119" s="2" t="inlineStr">
        <is>
          <t>Waiting</t>
        </is>
      </c>
      <c r="N119" s="2" t="n"/>
      <c r="O119" s="2" t="n"/>
      <c r="P119" s="2" t="n"/>
      <c r="Q119" s="28" t="n"/>
      <c r="R119" s="29" t="n"/>
      <c r="S119" s="5" t="inlineStr">
        <is>
          <t>KIPP11LAB31CF101</t>
        </is>
      </c>
      <c r="T119" s="5">
        <f>LEFT(B119,7)</f>
        <v/>
      </c>
    </row>
    <row r="120" ht="30" customFormat="1" customHeight="1" s="5">
      <c r="A120" s="17" t="n">
        <v>119</v>
      </c>
      <c r="B120" s="14" t="n"/>
      <c r="C120" s="14" t="n"/>
      <c r="D120" s="37" t="n"/>
      <c r="E120" s="3" t="n"/>
      <c r="F120" s="3" t="n"/>
      <c r="G120" s="3" t="n"/>
      <c r="H120" s="3" t="n"/>
      <c r="I120" s="4" t="n"/>
      <c r="J120" s="19" t="n"/>
      <c r="K120" s="19" t="n"/>
      <c r="L120" s="19" t="n"/>
      <c r="M120" s="2" t="inlineStr">
        <is>
          <t>Waiting</t>
        </is>
      </c>
      <c r="N120" s="2" t="n"/>
      <c r="O120" s="2" t="n"/>
      <c r="P120" s="2" t="n"/>
      <c r="Q120" s="28" t="n"/>
      <c r="R120" s="29" t="n"/>
      <c r="S120" s="5" t="inlineStr">
        <is>
          <t>KIPP10MAA10CT031A</t>
        </is>
      </c>
      <c r="T120" s="5">
        <f>LEFT(B120,7)</f>
        <v/>
      </c>
    </row>
    <row r="121" ht="30" customFormat="1" customHeight="1" s="5">
      <c r="A121" s="17" t="n">
        <v>120</v>
      </c>
      <c r="B121" s="14" t="n"/>
      <c r="C121" s="14" t="n"/>
      <c r="D121" s="37" t="n"/>
      <c r="E121" s="3" t="n"/>
      <c r="F121" s="3" t="n"/>
      <c r="G121" s="3" t="n"/>
      <c r="H121" s="3" t="n"/>
      <c r="I121" s="4" t="n"/>
      <c r="J121" s="19" t="n"/>
      <c r="K121" s="19" t="n"/>
      <c r="L121" s="19" t="n"/>
      <c r="M121" s="2" t="inlineStr">
        <is>
          <t>Waiting</t>
        </is>
      </c>
      <c r="N121" s="2" t="n"/>
      <c r="O121" s="2" t="n"/>
      <c r="P121" s="2" t="n"/>
      <c r="Q121" s="28" t="n"/>
      <c r="R121" s="29" t="n"/>
      <c r="S121" s="5" t="inlineStr">
        <is>
          <t>KIPP10MAA10CT031B</t>
        </is>
      </c>
      <c r="T121" s="5">
        <f>LEFT(B121,7)</f>
        <v/>
      </c>
    </row>
    <row r="122" ht="30" customFormat="1" customHeight="1" s="5">
      <c r="A122" s="17" t="n">
        <v>121</v>
      </c>
      <c r="B122" s="14" t="n"/>
      <c r="C122" s="14" t="n"/>
      <c r="D122" s="37" t="n"/>
      <c r="E122" s="3" t="n"/>
      <c r="F122" s="3" t="n"/>
      <c r="G122" s="3" t="n"/>
      <c r="H122" s="3" t="n"/>
      <c r="I122" s="4" t="n"/>
      <c r="J122" s="19" t="n"/>
      <c r="K122" s="19" t="n"/>
      <c r="L122" s="19" t="n"/>
      <c r="M122" s="2" t="inlineStr">
        <is>
          <t>Waiting</t>
        </is>
      </c>
      <c r="N122" s="2" t="n"/>
      <c r="O122" s="2" t="n"/>
      <c r="P122" s="2" t="n"/>
      <c r="Q122" s="32" t="n"/>
      <c r="R122" s="29" t="n"/>
      <c r="S122" s="5" t="inlineStr">
        <is>
          <t>KIPP10MAW10CT001</t>
        </is>
      </c>
      <c r="T122" s="5">
        <f>LEFT(B122,7)</f>
        <v/>
      </c>
    </row>
    <row r="123" ht="30" customFormat="1" customHeight="1" s="5">
      <c r="A123" s="17" t="n">
        <v>122</v>
      </c>
      <c r="B123" s="14" t="n"/>
      <c r="C123" s="14" t="n"/>
      <c r="D123" s="37" t="n"/>
      <c r="E123" s="3" t="n"/>
      <c r="F123" s="3" t="n"/>
      <c r="G123" s="3" t="n"/>
      <c r="H123" s="3" t="n"/>
      <c r="I123" s="4" t="n"/>
      <c r="J123" s="19" t="n"/>
      <c r="K123" s="19" t="n"/>
      <c r="L123" s="19" t="n"/>
      <c r="M123" s="2" t="inlineStr">
        <is>
          <t>Waiting</t>
        </is>
      </c>
      <c r="N123" s="2" t="n"/>
      <c r="O123" s="2" t="n"/>
      <c r="P123" s="2" t="n"/>
      <c r="Q123" s="28" t="n"/>
      <c r="R123" s="29" t="n"/>
      <c r="S123" s="5" t="inlineStr">
        <is>
          <t>KIPP10MAW10CT002</t>
        </is>
      </c>
      <c r="T123" s="5">
        <f>LEFT(B123,7)</f>
        <v/>
      </c>
    </row>
    <row r="124" ht="30" customFormat="1" customHeight="1" s="5">
      <c r="A124" s="17" t="n">
        <v>123</v>
      </c>
      <c r="B124" s="14" t="n"/>
      <c r="C124" s="14" t="n"/>
      <c r="D124" s="37" t="n"/>
      <c r="E124" s="3" t="n"/>
      <c r="F124" s="3" t="n"/>
      <c r="G124" s="3" t="n"/>
      <c r="H124" s="3" t="n"/>
      <c r="I124" s="4" t="n"/>
      <c r="J124" s="19" t="n"/>
      <c r="K124" s="19" t="n"/>
      <c r="L124" s="20" t="n"/>
      <c r="M124" s="2" t="inlineStr">
        <is>
          <t>Waiting</t>
        </is>
      </c>
      <c r="N124" s="2" t="n"/>
      <c r="O124" s="2" t="n"/>
      <c r="P124" s="2" t="n"/>
      <c r="Q124" s="28" t="n"/>
      <c r="R124" s="29" t="n"/>
      <c r="S124" s="5" t="inlineStr">
        <is>
          <t>KIPP10MAA10CP001</t>
        </is>
      </c>
      <c r="T124" s="5">
        <f>LEFT(B124,7)</f>
        <v/>
      </c>
    </row>
    <row r="125" ht="30" customFormat="1" customHeight="1" s="5">
      <c r="A125" s="17" t="n">
        <v>124</v>
      </c>
      <c r="B125" s="14" t="n"/>
      <c r="C125" s="14" t="n"/>
      <c r="D125" s="37" t="n"/>
      <c r="E125" s="4" t="n"/>
      <c r="F125" s="4" t="n"/>
      <c r="G125" s="3" t="n"/>
      <c r="H125" s="3" t="n"/>
      <c r="I125" s="4" t="n"/>
      <c r="J125" s="19" t="n"/>
      <c r="K125" s="19" t="n"/>
      <c r="L125" s="20" t="n"/>
      <c r="M125" s="2" t="inlineStr">
        <is>
          <t>Waiting</t>
        </is>
      </c>
      <c r="N125" s="2" t="n"/>
      <c r="O125" s="2" t="n"/>
      <c r="P125" s="2" t="n"/>
      <c r="Q125" s="28" t="n"/>
      <c r="R125" s="29" t="n"/>
      <c r="S125" s="5" t="inlineStr">
        <is>
          <t>KIPP10MAB10CP001</t>
        </is>
      </c>
      <c r="T125" s="5">
        <f>LEFT(B125,7)</f>
        <v/>
      </c>
    </row>
    <row r="126" ht="30" customFormat="1" customHeight="1" s="5">
      <c r="A126" s="17" t="n">
        <v>125</v>
      </c>
      <c r="B126" s="14" t="n"/>
      <c r="C126" s="14" t="n"/>
      <c r="D126" s="37" t="n"/>
      <c r="E126" s="4" t="n"/>
      <c r="F126" s="4" t="n"/>
      <c r="G126" s="3" t="n"/>
      <c r="H126" s="3" t="n"/>
      <c r="I126" s="4" t="n"/>
      <c r="J126" s="19" t="n"/>
      <c r="K126" s="19" t="n"/>
      <c r="L126" s="20" t="n"/>
      <c r="M126" s="2" t="inlineStr">
        <is>
          <t>Waiting</t>
        </is>
      </c>
      <c r="N126" s="2" t="n"/>
      <c r="O126" s="2" t="n"/>
      <c r="P126" s="2" t="n"/>
      <c r="Q126" s="28" t="n"/>
      <c r="R126" s="29" t="n"/>
      <c r="S126" s="5" t="inlineStr">
        <is>
          <t>KIPP10MAB10CP002</t>
        </is>
      </c>
      <c r="T126" s="5">
        <f>LEFT(B126,7)</f>
        <v/>
      </c>
    </row>
    <row r="127" ht="30" customFormat="1" customHeight="1" s="5">
      <c r="A127" s="17" t="n">
        <v>126</v>
      </c>
      <c r="B127" s="14" t="n"/>
      <c r="C127" s="14" t="n"/>
      <c r="D127" s="37" t="n"/>
      <c r="E127" s="3" t="n"/>
      <c r="F127" s="3" t="n"/>
      <c r="G127" s="3" t="n"/>
      <c r="H127" s="3" t="n"/>
      <c r="I127" s="4" t="n"/>
      <c r="J127" s="19" t="n"/>
      <c r="K127" s="19" t="n"/>
      <c r="L127" s="20" t="n"/>
      <c r="M127" s="2" t="inlineStr">
        <is>
          <t>Waiting</t>
        </is>
      </c>
      <c r="N127" s="2" t="n"/>
      <c r="O127" s="2" t="n"/>
      <c r="P127" s="2" t="n"/>
      <c r="Q127" s="28" t="n"/>
      <c r="R127" s="29" t="n"/>
      <c r="S127" s="5" t="inlineStr">
        <is>
          <t>KIPP10MAC01CP021</t>
        </is>
      </c>
      <c r="T127" s="5">
        <f>LEFT(B127,7)</f>
        <v/>
      </c>
    </row>
    <row r="128" ht="30" customFormat="1" customHeight="1" s="5">
      <c r="A128" s="17" t="n">
        <v>127</v>
      </c>
      <c r="B128" s="14" t="n"/>
      <c r="C128" s="14" t="n"/>
      <c r="D128" s="37" t="n"/>
      <c r="E128" s="3" t="n"/>
      <c r="F128" s="3" t="n"/>
      <c r="G128" s="3" t="n"/>
      <c r="H128" s="3" t="n"/>
      <c r="I128" s="4" t="n"/>
      <c r="J128" s="19" t="n"/>
      <c r="K128" s="19" t="n"/>
      <c r="L128" s="20" t="n"/>
      <c r="M128" s="2" t="inlineStr">
        <is>
          <t>Waiting</t>
        </is>
      </c>
      <c r="N128" s="2" t="n"/>
      <c r="O128" s="2" t="n"/>
      <c r="P128" s="2" t="n"/>
      <c r="Q128" s="28" t="n"/>
      <c r="R128" s="29" t="n"/>
      <c r="S128" s="5" t="inlineStr">
        <is>
          <t>KIPP10MAC01CP022</t>
        </is>
      </c>
      <c r="T128" s="5">
        <f>LEFT(B128,7)</f>
        <v/>
      </c>
    </row>
    <row r="129" ht="30" customFormat="1" customHeight="1" s="5">
      <c r="A129" s="17" t="n">
        <v>128</v>
      </c>
      <c r="B129" s="14" t="n"/>
      <c r="C129" s="14" t="n"/>
      <c r="D129" s="37" t="n"/>
      <c r="E129" s="3" t="n"/>
      <c r="F129" s="3" t="n"/>
      <c r="G129" s="3" t="n"/>
      <c r="H129" s="3" t="n"/>
      <c r="I129" s="4" t="n"/>
      <c r="J129" s="19" t="n"/>
      <c r="K129" s="19" t="n"/>
      <c r="L129" s="20" t="n"/>
      <c r="M129" s="2" t="inlineStr">
        <is>
          <t>Waiting</t>
        </is>
      </c>
      <c r="N129" s="2" t="n"/>
      <c r="O129" s="2" t="n"/>
      <c r="P129" s="2" t="n"/>
      <c r="Q129" s="28" t="n"/>
      <c r="R129" s="29" t="n"/>
      <c r="S129" s="5" t="inlineStr">
        <is>
          <t>KIPP10MAC10CP031</t>
        </is>
      </c>
      <c r="T129" s="5">
        <f>LEFT(B129,7)</f>
        <v/>
      </c>
    </row>
    <row r="130" ht="30" customFormat="1" customHeight="1" s="5">
      <c r="A130" s="17" t="n">
        <v>129</v>
      </c>
      <c r="B130" s="14" t="n"/>
      <c r="C130" s="14" t="n"/>
      <c r="D130" s="37" t="n"/>
      <c r="E130" s="3" t="n"/>
      <c r="F130" s="3" t="n"/>
      <c r="G130" s="3" t="n"/>
      <c r="H130" s="3" t="n"/>
      <c r="I130" s="4" t="n"/>
      <c r="J130" s="19" t="n"/>
      <c r="K130" s="19" t="n"/>
      <c r="L130" s="20" t="n"/>
      <c r="M130" s="2" t="inlineStr">
        <is>
          <t>Waiting</t>
        </is>
      </c>
      <c r="N130" s="2" t="n"/>
      <c r="O130" s="2" t="n"/>
      <c r="P130" s="2" t="n"/>
      <c r="Q130" s="28" t="n"/>
      <c r="R130" s="29" t="n"/>
      <c r="S130" s="5" t="inlineStr">
        <is>
          <t>KIPP10MAC10CP032</t>
        </is>
      </c>
      <c r="T130" s="5">
        <f>LEFT(B130,7)</f>
        <v/>
      </c>
    </row>
    <row r="131" ht="30" customFormat="1" customHeight="1" s="5">
      <c r="A131" s="17" t="n">
        <v>130</v>
      </c>
      <c r="B131" s="14" t="n"/>
      <c r="C131" s="14" t="n"/>
      <c r="D131" s="37" t="n"/>
      <c r="E131" s="3" t="n"/>
      <c r="F131" s="3" t="n"/>
      <c r="G131" s="3" t="n"/>
      <c r="H131" s="3" t="n"/>
      <c r="I131" s="4" t="n"/>
      <c r="J131" s="19" t="n"/>
      <c r="K131" s="19" t="n"/>
      <c r="L131" s="20" t="n"/>
      <c r="M131" s="2" t="inlineStr">
        <is>
          <t>Waiting</t>
        </is>
      </c>
      <c r="N131" s="2" t="n"/>
      <c r="O131" s="2" t="n"/>
      <c r="P131" s="2" t="n"/>
      <c r="Q131" s="28" t="n"/>
      <c r="R131" s="29" t="n"/>
      <c r="S131" s="5" t="inlineStr">
        <is>
          <t>KIPP10MAC10CP033</t>
        </is>
      </c>
      <c r="T131" s="5">
        <f>LEFT(B131,7)</f>
        <v/>
      </c>
    </row>
    <row r="132" ht="30" customFormat="1" customHeight="1" s="5">
      <c r="A132" s="17" t="n">
        <v>131</v>
      </c>
      <c r="B132" s="14" t="n"/>
      <c r="C132" s="14" t="n"/>
      <c r="D132" s="37" t="n"/>
      <c r="E132" s="3" t="n"/>
      <c r="F132" s="3" t="n"/>
      <c r="G132" s="3" t="n"/>
      <c r="H132" s="3" t="n"/>
      <c r="I132" s="4" t="n"/>
      <c r="J132" s="19" t="n"/>
      <c r="K132" s="19" t="n"/>
      <c r="L132" s="20" t="n"/>
      <c r="M132" s="2" t="inlineStr">
        <is>
          <t>Waiting</t>
        </is>
      </c>
      <c r="N132" s="2" t="n"/>
      <c r="O132" s="2" t="n"/>
      <c r="P132" s="2" t="n"/>
      <c r="Q132" s="28" t="n"/>
      <c r="R132" s="29" t="n"/>
      <c r="S132" s="5" t="inlineStr">
        <is>
          <t>KIPP10MAV40CP003</t>
        </is>
      </c>
      <c r="T132" s="5">
        <f>LEFT(B132,7)</f>
        <v/>
      </c>
    </row>
    <row r="133" ht="30" customFormat="1" customHeight="1" s="5">
      <c r="A133" s="17" t="n">
        <v>132</v>
      </c>
      <c r="B133" s="14" t="n"/>
      <c r="C133" s="14" t="n"/>
      <c r="D133" s="37" t="n"/>
      <c r="E133" s="3" t="n"/>
      <c r="F133" s="3" t="n"/>
      <c r="G133" s="3" t="n"/>
      <c r="H133" s="3" t="n"/>
      <c r="I133" s="4" t="n"/>
      <c r="J133" s="19" t="n"/>
      <c r="K133" s="19" t="n"/>
      <c r="L133" s="20" t="n"/>
      <c r="M133" s="2" t="inlineStr">
        <is>
          <t>Waiting</t>
        </is>
      </c>
      <c r="N133" s="2" t="n"/>
      <c r="O133" s="2" t="n"/>
      <c r="P133" s="2" t="n"/>
      <c r="Q133" s="28" t="n"/>
      <c r="R133" s="29" t="n"/>
      <c r="S133" s="5" t="inlineStr">
        <is>
          <t>KIPP10MAV40CP004</t>
        </is>
      </c>
      <c r="T133" s="5">
        <f>LEFT(B133,7)</f>
        <v/>
      </c>
    </row>
    <row r="134" ht="30" customFormat="1" customHeight="1" s="5">
      <c r="A134" s="17" t="n">
        <v>133</v>
      </c>
      <c r="B134" s="14" t="n"/>
      <c r="C134" s="14" t="n"/>
      <c r="D134" s="37" t="n"/>
      <c r="E134" s="3" t="n"/>
      <c r="F134" s="3" t="n"/>
      <c r="G134" s="3" t="n"/>
      <c r="H134" s="3" t="n"/>
      <c r="I134" s="4" t="n"/>
      <c r="J134" s="19" t="n"/>
      <c r="K134" s="19" t="n"/>
      <c r="L134" s="20" t="n"/>
      <c r="M134" s="2" t="inlineStr">
        <is>
          <t>Waiting</t>
        </is>
      </c>
      <c r="N134" s="2" t="n"/>
      <c r="O134" s="2" t="n"/>
      <c r="P134" s="2" t="n"/>
      <c r="Q134" s="28" t="n"/>
      <c r="R134" s="29" t="n"/>
      <c r="S134" s="5" t="inlineStr">
        <is>
          <t>KIPP10MAV40CP005</t>
        </is>
      </c>
      <c r="T134" s="5">
        <f>LEFT(B134,7)</f>
        <v/>
      </c>
    </row>
    <row r="135" ht="30" customFormat="1" customHeight="1" s="5">
      <c r="A135" s="17" t="n">
        <v>134</v>
      </c>
      <c r="B135" s="14" t="n"/>
      <c r="C135" s="14" t="n"/>
      <c r="D135" s="37" t="n"/>
      <c r="E135" s="4" t="n"/>
      <c r="F135" s="4" t="n"/>
      <c r="G135" s="3" t="n"/>
      <c r="H135" s="3" t="n"/>
      <c r="I135" s="4" t="n"/>
      <c r="J135" s="19" t="n"/>
      <c r="K135" s="19" t="n"/>
      <c r="L135" s="19" t="n"/>
      <c r="M135" s="2" t="inlineStr">
        <is>
          <t>Waiting</t>
        </is>
      </c>
      <c r="N135" s="2" t="n"/>
      <c r="O135" s="2" t="n"/>
      <c r="P135" s="2" t="n"/>
      <c r="Q135" s="28" t="n"/>
      <c r="R135" s="29" t="n"/>
      <c r="S135" s="5" t="inlineStr">
        <is>
          <t>KIPP10MAW02CP001</t>
        </is>
      </c>
      <c r="T135" s="5">
        <f>LEFT(B135,7)</f>
        <v/>
      </c>
    </row>
    <row r="136" ht="30" customFormat="1" customHeight="1" s="5">
      <c r="A136" s="17" t="n">
        <v>135</v>
      </c>
      <c r="B136" s="14" t="n"/>
      <c r="C136" s="14" t="n"/>
      <c r="D136" s="37" t="n"/>
      <c r="E136" s="4" t="n"/>
      <c r="F136" s="4" t="n"/>
      <c r="G136" s="3" t="n"/>
      <c r="H136" s="3" t="n"/>
      <c r="I136" s="4" t="n"/>
      <c r="J136" s="19" t="n"/>
      <c r="K136" s="19" t="n"/>
      <c r="L136" s="20" t="n"/>
      <c r="M136" s="2" t="inlineStr">
        <is>
          <t>Waiting</t>
        </is>
      </c>
      <c r="N136" s="2" t="n"/>
      <c r="O136" s="2" t="n"/>
      <c r="P136" s="2" t="n"/>
      <c r="Q136" s="28" t="n"/>
      <c r="R136" s="29" t="n"/>
      <c r="S136" s="5" t="inlineStr">
        <is>
          <t>KIPP10MAW15CP001</t>
        </is>
      </c>
      <c r="T136" s="5">
        <f>LEFT(B136,7)</f>
        <v/>
      </c>
    </row>
    <row r="137" ht="30" customFormat="1" customHeight="1" s="5">
      <c r="A137" s="17" t="n">
        <v>136</v>
      </c>
      <c r="B137" s="14" t="n"/>
      <c r="C137" s="14" t="n"/>
      <c r="D137" s="37" t="n"/>
      <c r="E137" s="3" t="n"/>
      <c r="F137" s="3" t="n"/>
      <c r="G137" s="3" t="n"/>
      <c r="H137" s="3" t="n"/>
      <c r="I137" s="4" t="n"/>
      <c r="J137" s="19" t="n"/>
      <c r="K137" s="19" t="n"/>
      <c r="L137" s="20" t="n"/>
      <c r="M137" s="2" t="inlineStr">
        <is>
          <t>Waiting</t>
        </is>
      </c>
      <c r="N137" s="2" t="n"/>
      <c r="O137" s="2" t="n"/>
      <c r="P137" s="2" t="n"/>
      <c r="Q137" s="28" t="n"/>
      <c r="R137" s="29" t="n"/>
      <c r="S137" s="5" t="inlineStr">
        <is>
          <t>KIPP10MAX11CP031</t>
        </is>
      </c>
      <c r="T137" s="5">
        <f>LEFT(B137,7)</f>
        <v/>
      </c>
    </row>
    <row r="138" ht="30" customFormat="1" customHeight="1" s="5">
      <c r="A138" s="17" t="n">
        <v>137</v>
      </c>
      <c r="B138" s="14" t="n"/>
      <c r="C138" s="14" t="n"/>
      <c r="D138" s="37" t="n"/>
      <c r="E138" s="3" t="n"/>
      <c r="F138" s="3" t="n"/>
      <c r="G138" s="3" t="n"/>
      <c r="H138" s="3" t="n"/>
      <c r="I138" s="4" t="n"/>
      <c r="J138" s="19" t="n"/>
      <c r="K138" s="19" t="n"/>
      <c r="L138" s="20" t="n"/>
      <c r="M138" s="2" t="inlineStr">
        <is>
          <t>Waiting</t>
        </is>
      </c>
      <c r="N138" s="2" t="n"/>
      <c r="O138" s="2" t="n"/>
      <c r="P138" s="2" t="n"/>
      <c r="Q138" s="28" t="n"/>
      <c r="R138" s="29" t="n"/>
      <c r="S138" s="5" t="inlineStr">
        <is>
          <t>KIPP10MAX44CP001</t>
        </is>
      </c>
      <c r="T138" s="5">
        <f>LEFT(B138,7)</f>
        <v/>
      </c>
    </row>
    <row r="139" ht="30" customFormat="1" customHeight="1" s="5">
      <c r="A139" s="17" t="n">
        <v>138</v>
      </c>
      <c r="B139" s="14" t="n"/>
      <c r="C139" s="14" t="n"/>
      <c r="D139" s="37" t="n"/>
      <c r="E139" s="3" t="n"/>
      <c r="F139" s="3" t="n"/>
      <c r="G139" s="3" t="n"/>
      <c r="H139" s="3" t="n"/>
      <c r="I139" s="4" t="n"/>
      <c r="J139" s="19" t="n"/>
      <c r="K139" s="19" t="n"/>
      <c r="L139" s="20" t="n"/>
      <c r="M139" s="2" t="inlineStr">
        <is>
          <t>Waiting</t>
        </is>
      </c>
      <c r="N139" s="2" t="n"/>
      <c r="O139" s="2" t="n"/>
      <c r="P139" s="2" t="n"/>
      <c r="Q139" s="28" t="n"/>
      <c r="R139" s="29" t="n"/>
      <c r="S139" s="5" t="inlineStr">
        <is>
          <t>KIPP10MAX44CP002</t>
        </is>
      </c>
      <c r="T139" s="5">
        <f>LEFT(B139,7)</f>
        <v/>
      </c>
    </row>
    <row r="140" ht="30" customFormat="1" customHeight="1" s="5">
      <c r="A140" s="17" t="n">
        <v>139</v>
      </c>
      <c r="B140" s="14" t="n"/>
      <c r="C140" s="14" t="n"/>
      <c r="D140" s="37" t="n"/>
      <c r="E140" s="3" t="n"/>
      <c r="F140" s="3" t="n"/>
      <c r="G140" s="3" t="n"/>
      <c r="H140" s="3" t="n"/>
      <c r="I140" s="4" t="n"/>
      <c r="J140" s="19" t="n"/>
      <c r="K140" s="19" t="n"/>
      <c r="L140" s="20" t="n"/>
      <c r="M140" s="2" t="inlineStr">
        <is>
          <t>Waiting</t>
        </is>
      </c>
      <c r="N140" s="2" t="n"/>
      <c r="O140" s="2" t="n"/>
      <c r="P140" s="2" t="n"/>
      <c r="Q140" s="28" t="n"/>
      <c r="R140" s="29" t="n"/>
      <c r="S140" s="5" t="inlineStr">
        <is>
          <t>KIPP10MAX44CP003</t>
        </is>
      </c>
      <c r="T140" s="5">
        <f>LEFT(B140,7)</f>
        <v/>
      </c>
    </row>
    <row r="141" ht="30" customFormat="1" customHeight="1" s="5">
      <c r="A141" s="17" t="n">
        <v>140</v>
      </c>
      <c r="B141" s="14" t="n"/>
      <c r="C141" s="14" t="n"/>
      <c r="D141" s="37" t="n"/>
      <c r="E141" s="3" t="n"/>
      <c r="F141" s="3" t="n"/>
      <c r="G141" s="3" t="n"/>
      <c r="H141" s="3" t="n"/>
      <c r="I141" s="4" t="n"/>
      <c r="J141" s="19" t="n"/>
      <c r="K141" s="19" t="n"/>
      <c r="L141" s="19" t="n"/>
      <c r="M141" s="2" t="inlineStr">
        <is>
          <t>Waiting</t>
        </is>
      </c>
      <c r="N141" s="2" t="n"/>
      <c r="O141" s="2" t="n"/>
      <c r="P141" s="2" t="n"/>
      <c r="Q141" s="28" t="n"/>
      <c r="R141" s="29" t="n"/>
      <c r="S141" s="5" t="inlineStr">
        <is>
          <t>KIPP11MBA80CP007</t>
        </is>
      </c>
      <c r="T141" s="5">
        <f>LEFT(B141,7)</f>
        <v/>
      </c>
    </row>
    <row r="142" ht="30" customFormat="1" customHeight="1" s="5">
      <c r="A142" s="17" t="n">
        <v>141</v>
      </c>
      <c r="B142" s="14" t="n"/>
      <c r="C142" s="14" t="n"/>
      <c r="D142" s="37" t="n"/>
      <c r="E142" s="3" t="n"/>
      <c r="F142" s="3" t="n"/>
      <c r="G142" s="3" t="n"/>
      <c r="H142" s="3" t="n"/>
      <c r="I142" s="4" t="n"/>
      <c r="J142" s="19" t="n"/>
      <c r="K142" s="19" t="n"/>
      <c r="L142" s="19" t="n"/>
      <c r="M142" s="2" t="inlineStr">
        <is>
          <t>Waiting</t>
        </is>
      </c>
      <c r="N142" s="2" t="n"/>
      <c r="O142" s="2" t="n"/>
      <c r="P142" s="2" t="n"/>
      <c r="Q142" s="28" t="n"/>
      <c r="R142" s="29" t="n"/>
      <c r="S142" s="5" t="inlineStr">
        <is>
          <t>KIPP11MBA80CP008</t>
        </is>
      </c>
      <c r="T142" s="5">
        <f>LEFT(B142,7)</f>
        <v/>
      </c>
    </row>
    <row r="143" ht="30" customFormat="1" customHeight="1" s="5">
      <c r="A143" s="17" t="n">
        <v>142</v>
      </c>
      <c r="B143" s="14" t="n"/>
      <c r="C143" s="14" t="n"/>
      <c r="D143" s="37" t="n"/>
      <c r="E143" s="3" t="n"/>
      <c r="F143" s="3" t="n"/>
      <c r="G143" s="3" t="n"/>
      <c r="H143" s="3" t="n"/>
      <c r="I143" s="4" t="n"/>
      <c r="J143" s="19" t="n"/>
      <c r="K143" s="19" t="n"/>
      <c r="L143" s="19" t="n"/>
      <c r="M143" s="2" t="inlineStr">
        <is>
          <t>Waiting</t>
        </is>
      </c>
      <c r="N143" s="2" t="n"/>
      <c r="O143" s="2" t="n"/>
      <c r="P143" s="2" t="n"/>
      <c r="Q143" s="28" t="n"/>
      <c r="R143" s="29" t="n"/>
      <c r="S143" s="5" t="inlineStr">
        <is>
          <t>KIPP11MBV40CP006</t>
        </is>
      </c>
      <c r="T143" s="5">
        <f>LEFT(B143,7)</f>
        <v/>
      </c>
    </row>
    <row r="144" ht="30" customFormat="1" customHeight="1" s="5">
      <c r="A144" s="17" t="n">
        <v>143</v>
      </c>
      <c r="B144" s="14" t="n"/>
      <c r="C144" s="14" t="n"/>
      <c r="D144" s="37" t="n"/>
      <c r="E144" s="3" t="n"/>
      <c r="F144" s="3" t="n"/>
      <c r="G144" s="3" t="n"/>
      <c r="H144" s="3" t="n"/>
      <c r="I144" s="4" t="n"/>
      <c r="J144" s="19" t="n"/>
      <c r="K144" s="19" t="n"/>
      <c r="L144" s="20" t="n"/>
      <c r="M144" s="2" t="inlineStr">
        <is>
          <t>Waiting</t>
        </is>
      </c>
      <c r="N144" s="2" t="n"/>
      <c r="O144" s="2" t="n"/>
      <c r="P144" s="2" t="n"/>
      <c r="Q144" s="28" t="n"/>
      <c r="R144" s="29" t="n"/>
      <c r="S144" s="5" t="inlineStr">
        <is>
          <t>KIPP10MKA13CP111</t>
        </is>
      </c>
      <c r="T144" s="5">
        <f>LEFT(B144,7)</f>
        <v/>
      </c>
    </row>
    <row r="145" ht="30" customFormat="1" customHeight="1" s="5">
      <c r="A145" s="17" t="n">
        <v>144</v>
      </c>
      <c r="B145" s="14" t="n"/>
      <c r="C145" s="14" t="n"/>
      <c r="D145" s="37" t="n"/>
      <c r="E145" s="3" t="n"/>
      <c r="F145" s="3" t="n"/>
      <c r="G145" s="3" t="n"/>
      <c r="H145" s="3" t="n"/>
      <c r="I145" s="4" t="n"/>
      <c r="J145" s="19" t="n"/>
      <c r="K145" s="19" t="n"/>
      <c r="L145" s="20" t="n"/>
      <c r="M145" s="2" t="inlineStr">
        <is>
          <t>Waiting</t>
        </is>
      </c>
      <c r="N145" s="2" t="n"/>
      <c r="O145" s="2" t="n"/>
      <c r="P145" s="2" t="n"/>
      <c r="Q145" s="28" t="n"/>
      <c r="R145" s="29" t="n"/>
      <c r="S145" s="5" t="inlineStr">
        <is>
          <t>KIPP10MKA13CP112</t>
        </is>
      </c>
      <c r="T145" s="5">
        <f>LEFT(B145,7)</f>
        <v/>
      </c>
    </row>
    <row r="146" ht="30" customFormat="1" customHeight="1" s="5">
      <c r="A146" s="17" t="n">
        <v>145</v>
      </c>
      <c r="B146" s="14" t="n"/>
      <c r="C146" s="14" t="n"/>
      <c r="D146" s="37" t="n"/>
      <c r="E146" s="3" t="n"/>
      <c r="F146" s="3" t="n"/>
      <c r="G146" s="3" t="n"/>
      <c r="H146" s="3" t="n"/>
      <c r="I146" s="4" t="n"/>
      <c r="J146" s="19" t="n"/>
      <c r="K146" s="19" t="n"/>
      <c r="L146" s="20" t="n"/>
      <c r="M146" s="2" t="inlineStr">
        <is>
          <t>Waiting</t>
        </is>
      </c>
      <c r="N146" s="2" t="n"/>
      <c r="O146" s="2" t="n"/>
      <c r="P146" s="2" t="n"/>
      <c r="Q146" s="28" t="n"/>
      <c r="R146" s="29" t="n"/>
      <c r="S146" s="5" t="inlineStr">
        <is>
          <t>KIPP10MKA13CP113</t>
        </is>
      </c>
      <c r="T146" s="5">
        <f>LEFT(B146,7)</f>
        <v/>
      </c>
    </row>
    <row r="147" ht="30" customFormat="1" customHeight="1" s="5">
      <c r="A147" s="17" t="n">
        <v>146</v>
      </c>
      <c r="B147" s="14" t="n"/>
      <c r="C147" s="14" t="n"/>
      <c r="D147" s="37" t="n"/>
      <c r="E147" s="3" t="n"/>
      <c r="F147" s="3" t="n"/>
      <c r="G147" s="3" t="n"/>
      <c r="H147" s="3" t="n"/>
      <c r="I147" s="4" t="n"/>
      <c r="J147" s="33" t="n"/>
      <c r="K147" s="33" t="n"/>
      <c r="L147" s="19" t="n"/>
      <c r="M147" s="2" t="inlineStr">
        <is>
          <t>Waiting</t>
        </is>
      </c>
      <c r="N147" s="2" t="n"/>
      <c r="O147" s="2" t="n"/>
      <c r="P147" s="2" t="n"/>
      <c r="Q147" s="28" t="n"/>
      <c r="R147" s="29" t="n"/>
      <c r="S147" s="5" t="inlineStr">
        <is>
          <t>KIPP11EKG40CP101</t>
        </is>
      </c>
      <c r="T147" s="5">
        <f>LEFT(B147,7)</f>
        <v/>
      </c>
    </row>
    <row r="148" ht="30" customFormat="1" customHeight="1" s="5">
      <c r="A148" s="17" t="n">
        <v>147</v>
      </c>
      <c r="B148" s="14" t="n"/>
      <c r="C148" s="14" t="n"/>
      <c r="D148" s="37" t="n"/>
      <c r="E148" s="4" t="n"/>
      <c r="F148" s="4" t="n"/>
      <c r="G148" s="4" t="n"/>
      <c r="H148" s="4" t="n"/>
      <c r="I148" s="4" t="n"/>
      <c r="J148" s="19" t="n"/>
      <c r="K148" s="19" t="n"/>
      <c r="L148" s="19" t="n"/>
      <c r="M148" s="2" t="inlineStr">
        <is>
          <t>Waiting</t>
        </is>
      </c>
      <c r="N148" s="2" t="n"/>
      <c r="O148" s="2" t="n"/>
      <c r="P148" s="2" t="n"/>
      <c r="Q148" s="28" t="n"/>
      <c r="R148" s="29" t="n"/>
      <c r="S148" s="5" t="inlineStr">
        <is>
          <t>KIPP11MBA30CP001</t>
        </is>
      </c>
      <c r="T148" s="5">
        <f>LEFT(B148,7)</f>
        <v/>
      </c>
    </row>
    <row r="149" ht="30" customFormat="1" customHeight="1" s="5">
      <c r="A149" s="17" t="n">
        <v>148</v>
      </c>
      <c r="B149" s="14" t="n"/>
      <c r="C149" s="14" t="n"/>
      <c r="D149" s="37" t="n"/>
      <c r="E149" s="4" t="n"/>
      <c r="F149" s="4" t="n"/>
      <c r="G149" s="4" t="n"/>
      <c r="H149" s="4" t="n"/>
      <c r="I149" s="4" t="n"/>
      <c r="J149" s="19" t="n"/>
      <c r="K149" s="19" t="n"/>
      <c r="L149" s="19" t="n"/>
      <c r="M149" s="2" t="inlineStr">
        <is>
          <t>Waiting</t>
        </is>
      </c>
      <c r="N149" s="2" t="n"/>
      <c r="O149" s="2" t="n"/>
      <c r="P149" s="2" t="n"/>
      <c r="Q149" s="28" t="n"/>
      <c r="R149" s="29" t="n"/>
      <c r="S149" s="5" t="inlineStr">
        <is>
          <t>KIPP11MBA30CP003</t>
        </is>
      </c>
      <c r="T149" s="5">
        <f>LEFT(B149,7)</f>
        <v/>
      </c>
    </row>
    <row r="150" ht="30" customFormat="1" customHeight="1" s="5">
      <c r="A150" s="17" t="n">
        <v>149</v>
      </c>
      <c r="B150" s="14" t="n"/>
      <c r="C150" s="14" t="n"/>
      <c r="D150" s="37" t="n"/>
      <c r="E150" s="4" t="n"/>
      <c r="F150" s="4" t="n"/>
      <c r="G150" s="4" t="n"/>
      <c r="H150" s="4" t="n"/>
      <c r="I150" s="4" t="n"/>
      <c r="J150" s="19" t="n"/>
      <c r="K150" s="19" t="n"/>
      <c r="L150" s="19" t="n"/>
      <c r="M150" s="2" t="inlineStr">
        <is>
          <t>Waiting</t>
        </is>
      </c>
      <c r="N150" s="2" t="n"/>
      <c r="O150" s="2" t="n"/>
      <c r="P150" s="2" t="n"/>
      <c r="Q150" s="28" t="n"/>
      <c r="R150" s="29" t="n"/>
      <c r="S150" s="5" t="inlineStr">
        <is>
          <t>KIPP11MBA30CP004</t>
        </is>
      </c>
      <c r="T150" s="5">
        <f>LEFT(B150,7)</f>
        <v/>
      </c>
    </row>
    <row r="151" ht="30" customFormat="1" customHeight="1" s="5">
      <c r="A151" s="17" t="n">
        <v>150</v>
      </c>
      <c r="B151" s="14" t="n"/>
      <c r="C151" s="14" t="n"/>
      <c r="D151" s="37" t="n"/>
      <c r="E151" s="4" t="n"/>
      <c r="F151" s="4" t="n"/>
      <c r="G151" s="3" t="n"/>
      <c r="H151" s="3" t="n"/>
      <c r="I151" s="4" t="n"/>
      <c r="J151" s="33" t="n"/>
      <c r="K151" s="33" t="n"/>
      <c r="L151" s="20" t="n"/>
      <c r="M151" s="2" t="inlineStr">
        <is>
          <t>Waiting</t>
        </is>
      </c>
      <c r="N151" s="2" t="n"/>
      <c r="O151" s="2" t="n"/>
      <c r="P151" s="2" t="n"/>
      <c r="Q151" s="28" t="n"/>
      <c r="R151" s="29" t="n"/>
      <c r="S151" s="5" t="inlineStr">
        <is>
          <t>KIPP11MBH30CL001</t>
        </is>
      </c>
      <c r="T151" s="5">
        <f>LEFT(B151,7)</f>
        <v/>
      </c>
    </row>
    <row r="152" ht="30" customFormat="1" customHeight="1" s="5">
      <c r="A152" s="17" t="n">
        <v>151</v>
      </c>
      <c r="B152" s="14" t="n"/>
      <c r="C152" s="14" t="n"/>
      <c r="D152" s="37" t="n"/>
      <c r="E152" s="4" t="n"/>
      <c r="F152" s="4" t="n"/>
      <c r="G152" s="3" t="n"/>
      <c r="H152" s="3" t="n"/>
      <c r="I152" s="4" t="n"/>
      <c r="J152" s="33" t="n"/>
      <c r="K152" s="33" t="n"/>
      <c r="L152" s="20" t="n"/>
      <c r="M152" s="2" t="inlineStr">
        <is>
          <t>Waiting</t>
        </is>
      </c>
      <c r="N152" s="2" t="n"/>
      <c r="O152" s="2" t="n"/>
      <c r="P152" s="2" t="n"/>
      <c r="Q152" s="28" t="n"/>
      <c r="R152" s="29" t="n"/>
      <c r="S152" s="5" t="inlineStr">
        <is>
          <t>KIPP11MBH30CL002</t>
        </is>
      </c>
      <c r="T152" s="5">
        <f>LEFT(B152,7)</f>
        <v/>
      </c>
    </row>
    <row r="153" ht="30" customFormat="1" customHeight="1" s="5">
      <c r="A153" s="17" t="n">
        <v>152</v>
      </c>
      <c r="B153" s="14" t="n"/>
      <c r="C153" s="14" t="n"/>
      <c r="D153" s="37" t="n"/>
      <c r="E153" s="4" t="n"/>
      <c r="F153" s="4" t="n"/>
      <c r="G153" s="3" t="n"/>
      <c r="H153" s="3" t="n"/>
      <c r="I153" s="4" t="n"/>
      <c r="J153" s="33" t="n"/>
      <c r="K153" s="33" t="n"/>
      <c r="L153" s="20" t="n"/>
      <c r="M153" s="2" t="inlineStr">
        <is>
          <t>Waiting</t>
        </is>
      </c>
      <c r="N153" s="2" t="n"/>
      <c r="O153" s="2" t="n"/>
      <c r="P153" s="2" t="n"/>
      <c r="Q153" s="28" t="n"/>
      <c r="R153" s="29" t="n"/>
      <c r="S153" s="5" t="inlineStr">
        <is>
          <t>KIPP11MBH30CP003</t>
        </is>
      </c>
      <c r="T153" s="5">
        <f>LEFT(B153,7)</f>
        <v/>
      </c>
    </row>
    <row r="154" ht="30" customFormat="1" customHeight="1" s="5">
      <c r="A154" s="17" t="n">
        <v>153</v>
      </c>
      <c r="B154" s="14" t="n"/>
      <c r="C154" s="14" t="n"/>
      <c r="D154" s="37" t="n"/>
      <c r="E154" s="4" t="n"/>
      <c r="F154" s="4" t="n"/>
      <c r="G154" s="3" t="n"/>
      <c r="H154" s="3" t="n"/>
      <c r="I154" s="4" t="n"/>
      <c r="J154" s="33" t="n"/>
      <c r="K154" s="33" t="n"/>
      <c r="L154" s="20" t="n"/>
      <c r="M154" s="2" t="inlineStr">
        <is>
          <t>Waiting</t>
        </is>
      </c>
      <c r="N154" s="2" t="n"/>
      <c r="O154" s="2" t="n"/>
      <c r="P154" s="2" t="n"/>
      <c r="Q154" s="28" t="n"/>
      <c r="R154" s="29" t="n"/>
      <c r="S154" s="5" t="inlineStr">
        <is>
          <t>KIPP11MBH30CP004</t>
        </is>
      </c>
      <c r="T154" s="5">
        <f>LEFT(B154,7)</f>
        <v/>
      </c>
    </row>
    <row r="155" ht="30" customFormat="1" customHeight="1" s="5">
      <c r="A155" s="17" t="n">
        <v>154</v>
      </c>
      <c r="B155" s="14" t="n"/>
      <c r="C155" s="14" t="n"/>
      <c r="D155" s="37" t="n"/>
      <c r="E155" s="4" t="n"/>
      <c r="F155" s="4" t="n"/>
      <c r="G155" s="3" t="n"/>
      <c r="H155" s="3" t="n"/>
      <c r="I155" s="4" t="n"/>
      <c r="J155" s="33" t="n"/>
      <c r="K155" s="33" t="n"/>
      <c r="L155" s="20" t="n"/>
      <c r="M155" s="2" t="inlineStr">
        <is>
          <t>Waiting</t>
        </is>
      </c>
      <c r="N155" s="2" t="n"/>
      <c r="O155" s="2" t="n"/>
      <c r="P155" s="2" t="n"/>
      <c r="Q155" s="28" t="n"/>
      <c r="R155" s="29" t="n"/>
      <c r="S155" s="5" t="inlineStr">
        <is>
          <t>KIPP11MBH30CP005</t>
        </is>
      </c>
      <c r="T155" s="5">
        <f>LEFT(B155,7)</f>
        <v/>
      </c>
    </row>
    <row r="156" ht="30" customFormat="1" customHeight="1" s="5">
      <c r="A156" s="17" t="n">
        <v>155</v>
      </c>
      <c r="B156" s="14" t="n"/>
      <c r="C156" s="14" t="n"/>
      <c r="D156" s="37" t="n"/>
      <c r="E156" s="4" t="n"/>
      <c r="F156" s="4" t="n"/>
      <c r="G156" s="3" t="n"/>
      <c r="H156" s="3" t="n"/>
      <c r="I156" s="4" t="n"/>
      <c r="J156" s="33" t="n"/>
      <c r="K156" s="33" t="n"/>
      <c r="L156" s="20" t="n"/>
      <c r="M156" s="2" t="inlineStr">
        <is>
          <t>Waiting</t>
        </is>
      </c>
      <c r="N156" s="2" t="n"/>
      <c r="O156" s="2" t="n"/>
      <c r="P156" s="2" t="n"/>
      <c r="Q156" s="28" t="n"/>
      <c r="R156" s="29" t="n"/>
      <c r="S156" s="5" t="inlineStr">
        <is>
          <t>KIPP11MBH30CP015</t>
        </is>
      </c>
      <c r="T156" s="5">
        <f>LEFT(B156,7)</f>
        <v/>
      </c>
    </row>
    <row r="157" ht="30" customFormat="1" customHeight="1" s="5">
      <c r="A157" s="17" t="n">
        <v>156</v>
      </c>
      <c r="B157" s="14" t="n"/>
      <c r="C157" s="14" t="n"/>
      <c r="D157" s="37" t="n"/>
      <c r="E157" s="4" t="n"/>
      <c r="F157" s="4" t="n"/>
      <c r="G157" s="3" t="n"/>
      <c r="H157" s="3" t="n"/>
      <c r="I157" s="4" t="n"/>
      <c r="J157" s="33" t="n"/>
      <c r="K157" s="33" t="n"/>
      <c r="L157" s="20" t="n"/>
      <c r="M157" s="2" t="inlineStr">
        <is>
          <t>Waiting</t>
        </is>
      </c>
      <c r="N157" s="2" t="n"/>
      <c r="O157" s="2" t="n"/>
      <c r="P157" s="2" t="n"/>
      <c r="Q157" s="28" t="n"/>
      <c r="R157" s="29" t="n"/>
      <c r="S157" s="5" t="inlineStr">
        <is>
          <t>KIPP11MBH30CP020</t>
        </is>
      </c>
      <c r="T157" s="5">
        <f>LEFT(B157,7)</f>
        <v/>
      </c>
    </row>
    <row r="158" ht="30" customFormat="1" customHeight="1" s="5">
      <c r="A158" s="17" t="n">
        <v>157</v>
      </c>
      <c r="B158" s="14" t="n"/>
      <c r="C158" s="14" t="n"/>
      <c r="D158" s="37" t="n"/>
      <c r="E158" s="4" t="n"/>
      <c r="F158" s="4" t="n"/>
      <c r="G158" s="3" t="n"/>
      <c r="H158" s="3" t="n"/>
      <c r="I158" s="4" t="n"/>
      <c r="J158" s="33" t="n"/>
      <c r="K158" s="33" t="n"/>
      <c r="L158" s="20" t="n"/>
      <c r="M158" s="2" t="inlineStr">
        <is>
          <t>Waiting</t>
        </is>
      </c>
      <c r="N158" s="2" t="n"/>
      <c r="O158" s="2" t="n"/>
      <c r="P158" s="2" t="n"/>
      <c r="Q158" s="28" t="n"/>
      <c r="R158" s="29" t="n"/>
      <c r="S158" s="5" t="inlineStr">
        <is>
          <t>KIPP11MBH40CL001</t>
        </is>
      </c>
      <c r="T158" s="5">
        <f>LEFT(B158,7)</f>
        <v/>
      </c>
    </row>
    <row r="159" ht="30" customFormat="1" customHeight="1" s="5">
      <c r="A159" s="17" t="n">
        <v>158</v>
      </c>
      <c r="B159" s="14" t="n"/>
      <c r="C159" s="14" t="n"/>
      <c r="D159" s="37" t="n"/>
      <c r="E159" s="4" t="n"/>
      <c r="F159" s="4" t="n"/>
      <c r="G159" s="3" t="n"/>
      <c r="H159" s="3" t="n"/>
      <c r="I159" s="4" t="n"/>
      <c r="J159" s="33" t="n"/>
      <c r="K159" s="33" t="n"/>
      <c r="L159" s="20" t="n"/>
      <c r="M159" s="2" t="inlineStr">
        <is>
          <t>Waiting</t>
        </is>
      </c>
      <c r="N159" s="2" t="n"/>
      <c r="O159" s="2" t="n"/>
      <c r="P159" s="2" t="n"/>
      <c r="Q159" s="28" t="n"/>
      <c r="R159" s="29" t="n"/>
      <c r="S159" s="5" t="inlineStr">
        <is>
          <t>KIPP11MBH40CL002</t>
        </is>
      </c>
      <c r="T159" s="5">
        <f>LEFT(B159,7)</f>
        <v/>
      </c>
    </row>
    <row r="160" ht="30" customFormat="1" customHeight="1" s="5">
      <c r="A160" s="17" t="n">
        <v>159</v>
      </c>
      <c r="B160" s="14" t="n"/>
      <c r="C160" s="14" t="n"/>
      <c r="D160" s="37" t="n"/>
      <c r="E160" s="4" t="n"/>
      <c r="F160" s="4" t="n"/>
      <c r="G160" s="3" t="n"/>
      <c r="H160" s="3" t="n"/>
      <c r="I160" s="4" t="n"/>
      <c r="J160" s="33" t="n"/>
      <c r="K160" s="33" t="n"/>
      <c r="L160" s="20" t="n"/>
      <c r="M160" s="2" t="inlineStr">
        <is>
          <t>Waiting</t>
        </is>
      </c>
      <c r="N160" s="2" t="n"/>
      <c r="O160" s="2" t="n"/>
      <c r="P160" s="2" t="n"/>
      <c r="Q160" s="28" t="n"/>
      <c r="R160" s="29" t="n"/>
      <c r="S160" s="5" t="inlineStr">
        <is>
          <t>KIPP11MBH40CP015</t>
        </is>
      </c>
      <c r="T160" s="5">
        <f>LEFT(B160,7)</f>
        <v/>
      </c>
    </row>
    <row r="161" ht="30" customFormat="1" customHeight="1" s="5">
      <c r="A161" s="17" t="n">
        <v>160</v>
      </c>
      <c r="B161" s="14" t="n"/>
      <c r="C161" s="14" t="n"/>
      <c r="D161" s="37" t="n"/>
      <c r="E161" s="4" t="n"/>
      <c r="F161" s="4" t="n"/>
      <c r="G161" s="3" t="n"/>
      <c r="H161" s="3" t="n"/>
      <c r="I161" s="4" t="n"/>
      <c r="J161" s="33" t="n"/>
      <c r="K161" s="33" t="n"/>
      <c r="L161" s="20" t="n"/>
      <c r="M161" s="2" t="inlineStr">
        <is>
          <t>Waiting</t>
        </is>
      </c>
      <c r="N161" s="2" t="n"/>
      <c r="O161" s="2" t="n"/>
      <c r="P161" s="2" t="n"/>
      <c r="Q161" s="28" t="n"/>
      <c r="R161" s="29" t="n"/>
      <c r="S161" s="5" t="inlineStr">
        <is>
          <t>KIPP11MBH52CP001</t>
        </is>
      </c>
      <c r="T161" s="5">
        <f>LEFT(B161,7)</f>
        <v/>
      </c>
    </row>
    <row r="162" ht="30" customFormat="1" customHeight="1" s="5">
      <c r="A162" s="17" t="n">
        <v>161</v>
      </c>
      <c r="B162" s="14" t="n"/>
      <c r="C162" s="14" t="n"/>
      <c r="D162" s="37" t="n"/>
      <c r="E162" s="4" t="n"/>
      <c r="F162" s="4" t="n"/>
      <c r="G162" s="3" t="n"/>
      <c r="H162" s="3" t="n"/>
      <c r="I162" s="4" t="n"/>
      <c r="J162" s="33" t="n"/>
      <c r="K162" s="33" t="n"/>
      <c r="L162" s="20" t="n"/>
      <c r="M162" s="2" t="inlineStr">
        <is>
          <t>Waiting</t>
        </is>
      </c>
      <c r="N162" s="2" t="n"/>
      <c r="O162" s="2" t="n"/>
      <c r="P162" s="2" t="n"/>
      <c r="Q162" s="28" t="n"/>
      <c r="R162" s="29" t="n"/>
      <c r="S162" s="5" t="inlineStr">
        <is>
          <t>KIPP11MBH60CP001</t>
        </is>
      </c>
      <c r="T162" s="5">
        <f>LEFT(B162,7)</f>
        <v/>
      </c>
    </row>
    <row r="163" ht="30" customFormat="1" customHeight="1" s="5">
      <c r="A163" s="17" t="n">
        <v>162</v>
      </c>
      <c r="B163" s="14" t="n"/>
      <c r="C163" s="14" t="n"/>
      <c r="D163" s="37" t="n"/>
      <c r="E163" s="4" t="n"/>
      <c r="F163" s="4" t="n"/>
      <c r="G163" s="3" t="n"/>
      <c r="H163" s="3" t="n"/>
      <c r="I163" s="4" t="n"/>
      <c r="J163" s="33" t="n"/>
      <c r="K163" s="33" t="n"/>
      <c r="L163" s="20" t="n"/>
      <c r="M163" s="2" t="inlineStr">
        <is>
          <t>Waiting</t>
        </is>
      </c>
      <c r="N163" s="2" t="n"/>
      <c r="O163" s="2" t="n"/>
      <c r="P163" s="2" t="n"/>
      <c r="Q163" s="28" t="n"/>
      <c r="R163" s="29" t="n"/>
      <c r="S163" s="5" t="inlineStr">
        <is>
          <t>KIPP11MBH80CP011</t>
        </is>
      </c>
      <c r="T163" s="5">
        <f>LEFT(B163,7)</f>
        <v/>
      </c>
    </row>
    <row r="164" ht="30" customFormat="1" customHeight="1" s="5">
      <c r="A164" s="17" t="n">
        <v>163</v>
      </c>
      <c r="B164" s="14" t="n"/>
      <c r="C164" s="14" t="n"/>
      <c r="D164" s="37" t="n"/>
      <c r="E164" s="4" t="n"/>
      <c r="F164" s="4" t="n"/>
      <c r="G164" s="3" t="n"/>
      <c r="H164" s="3" t="n"/>
      <c r="I164" s="4" t="n"/>
      <c r="J164" s="33" t="n"/>
      <c r="K164" s="33" t="n"/>
      <c r="L164" s="20" t="n"/>
      <c r="M164" s="2" t="inlineStr">
        <is>
          <t>Waiting</t>
        </is>
      </c>
      <c r="N164" s="2" t="n"/>
      <c r="O164" s="2" t="n"/>
      <c r="P164" s="2" t="n"/>
      <c r="Q164" s="28" t="n"/>
      <c r="R164" s="29" t="n"/>
      <c r="S164" s="5" t="inlineStr">
        <is>
          <t>KIPP11MBH80CP012</t>
        </is>
      </c>
      <c r="T164" s="5">
        <f>LEFT(B164,7)</f>
        <v/>
      </c>
    </row>
    <row r="165" ht="30" customFormat="1" customHeight="1" s="5">
      <c r="A165" s="17" t="n">
        <v>164</v>
      </c>
      <c r="B165" s="14" t="n"/>
      <c r="C165" s="14" t="n"/>
      <c r="D165" s="37" t="n"/>
      <c r="E165" s="4" t="n"/>
      <c r="F165" s="4" t="n"/>
      <c r="G165" s="3" t="n"/>
      <c r="H165" s="3" t="n"/>
      <c r="I165" s="4" t="n"/>
      <c r="J165" s="33" t="n"/>
      <c r="K165" s="33" t="n"/>
      <c r="L165" s="20" t="n"/>
      <c r="M165" s="2" t="inlineStr">
        <is>
          <t>Waiting</t>
        </is>
      </c>
      <c r="N165" s="2" t="n"/>
      <c r="O165" s="2" t="n"/>
      <c r="P165" s="2" t="n"/>
      <c r="Q165" s="28" t="n"/>
      <c r="R165" s="29" t="n"/>
      <c r="S165" s="5" t="inlineStr">
        <is>
          <t>KIPP11MBH90CP001</t>
        </is>
      </c>
      <c r="T165" s="5">
        <f>LEFT(B165,7)</f>
        <v/>
      </c>
    </row>
    <row r="166" ht="30" customFormat="1" customHeight="1" s="5">
      <c r="A166" s="17" t="n">
        <v>165</v>
      </c>
      <c r="B166" s="14" t="n"/>
      <c r="C166" s="14" t="n"/>
      <c r="D166" s="37" t="n"/>
      <c r="E166" s="4" t="n"/>
      <c r="F166" s="4" t="n"/>
      <c r="G166" s="3" t="n"/>
      <c r="H166" s="3" t="n"/>
      <c r="I166" s="4" t="n"/>
      <c r="J166" s="33" t="n"/>
      <c r="K166" s="33" t="n"/>
      <c r="L166" s="20" t="n"/>
      <c r="M166" s="2" t="inlineStr">
        <is>
          <t>Waiting</t>
        </is>
      </c>
      <c r="N166" s="2" t="n"/>
      <c r="O166" s="2" t="n"/>
      <c r="P166" s="2" t="n"/>
      <c r="Q166" s="28" t="n"/>
      <c r="R166" s="29" t="n"/>
      <c r="S166" s="5" t="inlineStr">
        <is>
          <t>KIPP11MBH90CP004</t>
        </is>
      </c>
      <c r="T166" s="5">
        <f>LEFT(B166,7)</f>
        <v/>
      </c>
    </row>
    <row r="167" ht="30" customFormat="1" customHeight="1" s="5">
      <c r="A167" s="17" t="n">
        <v>166</v>
      </c>
      <c r="B167" s="14" t="n"/>
      <c r="C167" s="14" t="n"/>
      <c r="D167" s="37" t="n"/>
      <c r="E167" s="4" t="n"/>
      <c r="F167" s="4" t="n"/>
      <c r="G167" s="3" t="n"/>
      <c r="H167" s="3" t="n"/>
      <c r="I167" s="4" t="n"/>
      <c r="J167" s="33" t="n"/>
      <c r="K167" s="33" t="n"/>
      <c r="L167" s="20" t="n"/>
      <c r="M167" s="2" t="inlineStr">
        <is>
          <t>Waiting</t>
        </is>
      </c>
      <c r="N167" s="2" t="n"/>
      <c r="O167" s="2" t="n"/>
      <c r="P167" s="2" t="n"/>
      <c r="Q167" s="28" t="n"/>
      <c r="R167" s="29" t="n"/>
      <c r="S167" s="5" t="inlineStr">
        <is>
          <t>KIPP11MBL01CP011</t>
        </is>
      </c>
      <c r="T167" s="5">
        <f>LEFT(B167,7)</f>
        <v/>
      </c>
    </row>
    <row r="168" ht="30" customFormat="1" customHeight="1" s="5">
      <c r="A168" s="17" t="n">
        <v>167</v>
      </c>
      <c r="B168" s="14" t="n"/>
      <c r="C168" s="14" t="n"/>
      <c r="D168" s="37" t="n"/>
      <c r="E168" s="4" t="n"/>
      <c r="F168" s="4" t="n"/>
      <c r="G168" s="3" t="n"/>
      <c r="H168" s="3" t="n"/>
      <c r="I168" s="4" t="n"/>
      <c r="J168" s="33" t="n"/>
      <c r="K168" s="33" t="n"/>
      <c r="L168" s="20" t="n"/>
      <c r="M168" s="2" t="inlineStr">
        <is>
          <t>Waiting</t>
        </is>
      </c>
      <c r="N168" s="2" t="n"/>
      <c r="O168" s="2" t="n"/>
      <c r="P168" s="2" t="n"/>
      <c r="Q168" s="28" t="n"/>
      <c r="R168" s="29" t="n"/>
      <c r="S168" s="5" t="inlineStr">
        <is>
          <t>KIPP11MBL01CP012</t>
        </is>
      </c>
      <c r="T168" s="5">
        <f>LEFT(B168,7)</f>
        <v/>
      </c>
    </row>
    <row r="169" ht="30" customFormat="1" customHeight="1" s="5">
      <c r="A169" s="17" t="n">
        <v>168</v>
      </c>
      <c r="B169" s="14" t="n"/>
      <c r="C169" s="14" t="n"/>
      <c r="D169" s="37" t="n"/>
      <c r="E169" s="4" t="n"/>
      <c r="F169" s="4" t="n"/>
      <c r="G169" s="3" t="n"/>
      <c r="H169" s="3" t="n"/>
      <c r="I169" s="4" t="n"/>
      <c r="J169" s="33" t="n"/>
      <c r="K169" s="33" t="n"/>
      <c r="L169" s="20" t="n"/>
      <c r="M169" s="2" t="inlineStr">
        <is>
          <t>Waiting</t>
        </is>
      </c>
      <c r="N169" s="2" t="n"/>
      <c r="O169" s="2" t="n"/>
      <c r="P169" s="2" t="n"/>
      <c r="Q169" s="28" t="n"/>
      <c r="R169" s="29" t="n"/>
      <c r="S169" s="5" t="inlineStr">
        <is>
          <t>KIPP11MBL51CP001</t>
        </is>
      </c>
      <c r="T169" s="5">
        <f>LEFT(B169,7)</f>
        <v/>
      </c>
    </row>
    <row r="170" ht="30" customFormat="1" customHeight="1" s="5">
      <c r="A170" s="17" t="n">
        <v>169</v>
      </c>
      <c r="B170" s="14" t="n"/>
      <c r="C170" s="14" t="n"/>
      <c r="D170" s="37" t="n"/>
      <c r="E170" s="4" t="n"/>
      <c r="F170" s="4" t="n"/>
      <c r="G170" s="3" t="n"/>
      <c r="H170" s="3" t="n"/>
      <c r="I170" s="4" t="n"/>
      <c r="J170" s="33" t="n"/>
      <c r="K170" s="33" t="n"/>
      <c r="L170" s="20" t="n"/>
      <c r="M170" s="2" t="inlineStr">
        <is>
          <t>Waiting</t>
        </is>
      </c>
      <c r="N170" s="2" t="n"/>
      <c r="O170" s="2" t="n"/>
      <c r="P170" s="2" t="n"/>
      <c r="Q170" s="28" t="n"/>
      <c r="R170" s="29" t="n"/>
      <c r="S170" s="5" t="inlineStr">
        <is>
          <t>KIPP11MBL51CP002</t>
        </is>
      </c>
      <c r="T170" s="5">
        <f>LEFT(B170,7)</f>
        <v/>
      </c>
    </row>
    <row r="171" ht="30" customFormat="1" customHeight="1" s="5">
      <c r="A171" s="17" t="n">
        <v>170</v>
      </c>
      <c r="B171" s="14" t="n"/>
      <c r="C171" s="14" t="n"/>
      <c r="D171" s="37" t="n"/>
      <c r="E171" s="4" t="n"/>
      <c r="F171" s="4" t="n"/>
      <c r="G171" s="3" t="n"/>
      <c r="H171" s="3" t="n"/>
      <c r="I171" s="4" t="n"/>
      <c r="J171" s="33" t="n"/>
      <c r="K171" s="33" t="n"/>
      <c r="L171" s="20" t="n"/>
      <c r="M171" s="2" t="inlineStr">
        <is>
          <t>Waiting</t>
        </is>
      </c>
      <c r="N171" s="2" t="n"/>
      <c r="O171" s="2" t="n"/>
      <c r="P171" s="2" t="n"/>
      <c r="Q171" s="28" t="n"/>
      <c r="R171" s="29" t="n"/>
      <c r="S171" s="5" t="inlineStr">
        <is>
          <t>KIPP11MBL51CP012</t>
        </is>
      </c>
      <c r="T171" s="5">
        <f>LEFT(B171,7)</f>
        <v/>
      </c>
    </row>
    <row r="172" ht="30" customFormat="1" customHeight="1" s="5">
      <c r="A172" s="17" t="n">
        <v>171</v>
      </c>
      <c r="B172" s="14" t="n"/>
      <c r="C172" s="14" t="n"/>
      <c r="D172" s="37" t="n"/>
      <c r="E172" s="4" t="n"/>
      <c r="F172" s="4" t="n"/>
      <c r="G172" s="3" t="n"/>
      <c r="H172" s="3" t="n"/>
      <c r="I172" s="4" t="n"/>
      <c r="J172" s="33" t="n"/>
      <c r="K172" s="33" t="n"/>
      <c r="L172" s="20" t="n"/>
      <c r="M172" s="2" t="inlineStr">
        <is>
          <t>Waiting</t>
        </is>
      </c>
      <c r="N172" s="2" t="n"/>
      <c r="O172" s="2" t="n"/>
      <c r="P172" s="2" t="n"/>
      <c r="Q172" s="28" t="n"/>
      <c r="R172" s="29" t="n"/>
      <c r="S172" s="5" t="inlineStr">
        <is>
          <t>KIPP11MBP01CP003</t>
        </is>
      </c>
      <c r="T172" s="5">
        <f>LEFT(B172,7)</f>
        <v/>
      </c>
    </row>
    <row r="173" ht="30" customFormat="1" customHeight="1" s="5">
      <c r="A173" s="17" t="n">
        <v>172</v>
      </c>
      <c r="B173" s="14" t="n"/>
      <c r="C173" s="14" t="n"/>
      <c r="D173" s="37" t="n"/>
      <c r="E173" s="4" t="n"/>
      <c r="F173" s="4" t="n"/>
      <c r="G173" s="3" t="n"/>
      <c r="H173" s="3" t="n"/>
      <c r="I173" s="4" t="n"/>
      <c r="J173" s="33" t="n"/>
      <c r="K173" s="33" t="n"/>
      <c r="L173" s="20" t="n"/>
      <c r="M173" s="2" t="inlineStr">
        <is>
          <t>Waiting</t>
        </is>
      </c>
      <c r="N173" s="2" t="n"/>
      <c r="O173" s="2" t="n"/>
      <c r="P173" s="2" t="n"/>
      <c r="Q173" s="28" t="n"/>
      <c r="R173" s="29" t="n"/>
      <c r="S173" s="5" t="inlineStr">
        <is>
          <t>KIPP11MBP05CP102</t>
        </is>
      </c>
      <c r="T173" s="5">
        <f>LEFT(B173,7)</f>
        <v/>
      </c>
    </row>
    <row r="174" ht="30" customFormat="1" customHeight="1" s="5">
      <c r="A174" s="17" t="n">
        <v>173</v>
      </c>
      <c r="B174" s="14" t="n"/>
      <c r="C174" s="14" t="n"/>
      <c r="D174" s="37" t="n"/>
      <c r="E174" s="4" t="n"/>
      <c r="F174" s="4" t="n"/>
      <c r="G174" s="3" t="n"/>
      <c r="H174" s="3" t="n"/>
      <c r="I174" s="4" t="n"/>
      <c r="J174" s="33" t="n"/>
      <c r="K174" s="33" t="n"/>
      <c r="L174" s="20" t="n"/>
      <c r="M174" s="2" t="inlineStr">
        <is>
          <t>Waiting</t>
        </is>
      </c>
      <c r="N174" s="2" t="n"/>
      <c r="O174" s="2" t="n"/>
      <c r="P174" s="2" t="n"/>
      <c r="Q174" s="28" t="n"/>
      <c r="R174" s="29" t="n"/>
      <c r="S174" s="5" t="inlineStr">
        <is>
          <t>KIPP11MBP41CP001</t>
        </is>
      </c>
      <c r="T174" s="5">
        <f>LEFT(B174,7)</f>
        <v/>
      </c>
    </row>
    <row r="175" ht="30" customFormat="1" customHeight="1" s="5">
      <c r="A175" s="17" t="n">
        <v>174</v>
      </c>
      <c r="B175" s="14" t="n"/>
      <c r="C175" s="14" t="n"/>
      <c r="D175" s="37" t="n"/>
      <c r="E175" s="4" t="n"/>
      <c r="F175" s="4" t="n"/>
      <c r="G175" s="3" t="n"/>
      <c r="H175" s="3" t="n"/>
      <c r="I175" s="4" t="n"/>
      <c r="J175" s="33" t="n"/>
      <c r="K175" s="33" t="n"/>
      <c r="L175" s="20" t="n"/>
      <c r="M175" s="2" t="inlineStr">
        <is>
          <t>Waiting</t>
        </is>
      </c>
      <c r="N175" s="2" t="n"/>
      <c r="O175" s="2" t="n"/>
      <c r="P175" s="2" t="n"/>
      <c r="Q175" s="28" t="n"/>
      <c r="R175" s="29" t="n"/>
      <c r="S175" s="5" t="inlineStr">
        <is>
          <t>KIPP11MBP41CP004</t>
        </is>
      </c>
      <c r="T175" s="5">
        <f>LEFT(B175,7)</f>
        <v/>
      </c>
    </row>
    <row r="176" ht="30" customFormat="1" customHeight="1" s="5">
      <c r="A176" s="17" t="n">
        <v>175</v>
      </c>
      <c r="B176" s="14" t="n"/>
      <c r="C176" s="14" t="n"/>
      <c r="D176" s="37" t="n"/>
      <c r="E176" s="4" t="n"/>
      <c r="F176" s="4" t="n"/>
      <c r="G176" s="3" t="n"/>
      <c r="H176" s="3" t="n"/>
      <c r="I176" s="4" t="n"/>
      <c r="J176" s="33" t="n"/>
      <c r="K176" s="33" t="n"/>
      <c r="L176" s="20" t="n"/>
      <c r="M176" s="2" t="inlineStr">
        <is>
          <t>Waiting</t>
        </is>
      </c>
      <c r="N176" s="2" t="n"/>
      <c r="O176" s="2" t="n"/>
      <c r="P176" s="2" t="n"/>
      <c r="Q176" s="28" t="n"/>
      <c r="R176" s="29" t="n"/>
      <c r="S176" s="5" t="inlineStr">
        <is>
          <t>KIPP11MBP41CP006</t>
        </is>
      </c>
      <c r="T176" s="5">
        <f>LEFT(B176,7)</f>
        <v/>
      </c>
    </row>
    <row r="177" ht="30" customFormat="1" customHeight="1" s="5">
      <c r="A177" s="17" t="n">
        <v>176</v>
      </c>
      <c r="B177" s="14" t="n"/>
      <c r="C177" s="14" t="n"/>
      <c r="D177" s="37" t="n"/>
      <c r="E177" s="4" t="n"/>
      <c r="F177" s="4" t="n"/>
      <c r="G177" s="3" t="n"/>
      <c r="H177" s="3" t="n"/>
      <c r="I177" s="4" t="n"/>
      <c r="J177" s="33" t="n"/>
      <c r="K177" s="33" t="n"/>
      <c r="L177" s="20" t="n"/>
      <c r="M177" s="2" t="inlineStr">
        <is>
          <t>Waiting</t>
        </is>
      </c>
      <c r="N177" s="2" t="n"/>
      <c r="O177" s="2" t="n"/>
      <c r="P177" s="2" t="n"/>
      <c r="Q177" s="28" t="n"/>
      <c r="R177" s="29" t="n"/>
      <c r="S177" s="5" t="inlineStr">
        <is>
          <t>KIPP11MBP42CP001</t>
        </is>
      </c>
      <c r="T177" s="5">
        <f>LEFT(B177,7)</f>
        <v/>
      </c>
    </row>
    <row r="178" ht="30" customFormat="1" customHeight="1" s="5">
      <c r="A178" s="17" t="n">
        <v>177</v>
      </c>
      <c r="B178" s="14" t="n"/>
      <c r="C178" s="14" t="n"/>
      <c r="D178" s="37" t="n"/>
      <c r="E178" s="4" t="n"/>
      <c r="F178" s="4" t="n"/>
      <c r="G178" s="3" t="n"/>
      <c r="H178" s="3" t="n"/>
      <c r="I178" s="4" t="n"/>
      <c r="J178" s="33" t="n"/>
      <c r="K178" s="33" t="n"/>
      <c r="L178" s="20" t="n"/>
      <c r="M178" s="2" t="inlineStr">
        <is>
          <t>Waiting</t>
        </is>
      </c>
      <c r="N178" s="2" t="n"/>
      <c r="O178" s="2" t="n"/>
      <c r="P178" s="2" t="n"/>
      <c r="Q178" s="28" t="n"/>
      <c r="R178" s="29" t="n"/>
      <c r="S178" s="5" t="inlineStr">
        <is>
          <t>KIPP11MBP42CP004</t>
        </is>
      </c>
      <c r="T178" s="5">
        <f>LEFT(B178,7)</f>
        <v/>
      </c>
    </row>
    <row r="179" ht="30" customFormat="1" customHeight="1" s="5">
      <c r="A179" s="17" t="n">
        <v>178</v>
      </c>
      <c r="B179" s="14" t="n"/>
      <c r="C179" s="14" t="n"/>
      <c r="D179" s="37" t="n"/>
      <c r="E179" s="4" t="n"/>
      <c r="F179" s="4" t="n"/>
      <c r="G179" s="3" t="n"/>
      <c r="H179" s="3" t="n"/>
      <c r="I179" s="4" t="n"/>
      <c r="J179" s="33" t="n"/>
      <c r="K179" s="33" t="n"/>
      <c r="L179" s="20" t="n"/>
      <c r="M179" s="2" t="inlineStr">
        <is>
          <t>Waiting</t>
        </is>
      </c>
      <c r="N179" s="2" t="n"/>
      <c r="O179" s="2" t="n"/>
      <c r="P179" s="2" t="n"/>
      <c r="Q179" s="28" t="n"/>
      <c r="R179" s="29" t="n"/>
      <c r="S179" s="5" t="inlineStr">
        <is>
          <t>KIPP11MBP42CP006</t>
        </is>
      </c>
      <c r="T179" s="5">
        <f>LEFT(B179,7)</f>
        <v/>
      </c>
    </row>
    <row r="180" ht="30" customFormat="1" customHeight="1" s="5">
      <c r="A180" s="17" t="n">
        <v>179</v>
      </c>
      <c r="B180" s="14" t="n"/>
      <c r="C180" s="14" t="n"/>
      <c r="D180" s="37" t="n"/>
      <c r="E180" s="4" t="n"/>
      <c r="F180" s="4" t="n"/>
      <c r="G180" s="3" t="n"/>
      <c r="H180" s="3" t="n"/>
      <c r="I180" s="4" t="n"/>
      <c r="J180" s="33" t="n"/>
      <c r="K180" s="33" t="n"/>
      <c r="L180" s="20" t="n"/>
      <c r="M180" s="2" t="inlineStr">
        <is>
          <t>Waiting</t>
        </is>
      </c>
      <c r="N180" s="2" t="n"/>
      <c r="O180" s="2" t="n"/>
      <c r="P180" s="2" t="n"/>
      <c r="Q180" s="28" t="n"/>
      <c r="R180" s="29" t="n"/>
      <c r="S180" s="5" t="inlineStr">
        <is>
          <t>KIPP11MBP43CP001</t>
        </is>
      </c>
      <c r="T180" s="5">
        <f>LEFT(B180,7)</f>
        <v/>
      </c>
    </row>
    <row r="181" ht="30" customFormat="1" customHeight="1" s="5">
      <c r="A181" s="17" t="n">
        <v>180</v>
      </c>
      <c r="B181" s="14" t="n"/>
      <c r="C181" s="14" t="n"/>
      <c r="D181" s="37" t="n"/>
      <c r="E181" s="4" t="n"/>
      <c r="F181" s="4" t="n"/>
      <c r="G181" s="3" t="n"/>
      <c r="H181" s="3" t="n"/>
      <c r="I181" s="4" t="n"/>
      <c r="J181" s="33" t="n"/>
      <c r="K181" s="33" t="n"/>
      <c r="L181" s="20" t="n"/>
      <c r="M181" s="2" t="inlineStr">
        <is>
          <t>Waiting</t>
        </is>
      </c>
      <c r="N181" s="2" t="n"/>
      <c r="O181" s="2" t="n"/>
      <c r="P181" s="2" t="n"/>
      <c r="Q181" s="28" t="n"/>
      <c r="R181" s="29" t="n"/>
      <c r="S181" s="5" t="inlineStr">
        <is>
          <t>KIPP11MBP43CP004</t>
        </is>
      </c>
      <c r="T181" s="5">
        <f>LEFT(B181,7)</f>
        <v/>
      </c>
    </row>
    <row r="182" ht="30" customFormat="1" customHeight="1" s="5">
      <c r="A182" s="17" t="n">
        <v>181</v>
      </c>
      <c r="B182" s="14" t="n"/>
      <c r="C182" s="14" t="n"/>
      <c r="D182" s="37" t="n"/>
      <c r="E182" s="4" t="n"/>
      <c r="F182" s="4" t="n"/>
      <c r="G182" s="3" t="n"/>
      <c r="H182" s="3" t="n"/>
      <c r="I182" s="4" t="n"/>
      <c r="J182" s="33" t="n"/>
      <c r="K182" s="33" t="n"/>
      <c r="L182" s="20" t="n"/>
      <c r="M182" s="2" t="inlineStr">
        <is>
          <t>Waiting</t>
        </is>
      </c>
      <c r="N182" s="2" t="n"/>
      <c r="O182" s="2" t="n"/>
      <c r="P182" s="2" t="n"/>
      <c r="Q182" s="28" t="n"/>
      <c r="R182" s="29" t="n"/>
      <c r="S182" s="5" t="inlineStr">
        <is>
          <t>KIPP11MBP43CP006</t>
        </is>
      </c>
      <c r="T182" s="5">
        <f>LEFT(B182,7)</f>
        <v/>
      </c>
    </row>
    <row r="183" ht="30" customFormat="1" customHeight="1" s="5">
      <c r="A183" s="17" t="n">
        <v>182</v>
      </c>
      <c r="B183" s="14" t="n"/>
      <c r="C183" s="14" t="n"/>
      <c r="D183" s="37" t="n"/>
      <c r="E183" s="3" t="n"/>
      <c r="F183" s="3" t="n"/>
      <c r="G183" s="3" t="n"/>
      <c r="H183" s="3" t="n"/>
      <c r="I183" s="4" t="n"/>
      <c r="J183" s="19" t="n"/>
      <c r="K183" s="19" t="n"/>
      <c r="L183" s="20" t="n"/>
      <c r="M183" s="2" t="inlineStr">
        <is>
          <t>Waiting</t>
        </is>
      </c>
      <c r="N183" s="2" t="n"/>
      <c r="O183" s="2" t="n"/>
      <c r="P183" s="2" t="n"/>
      <c r="Q183" s="28" t="n"/>
      <c r="R183" s="29" t="n"/>
      <c r="S183" s="5" t="inlineStr">
        <is>
          <t>KIPP11MBV10CP001</t>
        </is>
      </c>
      <c r="T183" s="5">
        <f>LEFT(B183,7)</f>
        <v/>
      </c>
    </row>
    <row r="184" ht="30" customFormat="1" customHeight="1" s="5">
      <c r="A184" s="17" t="n">
        <v>183</v>
      </c>
      <c r="B184" s="14" t="n"/>
      <c r="C184" s="14" t="n"/>
      <c r="D184" s="37" t="n"/>
      <c r="E184" s="4" t="n"/>
      <c r="F184" s="4" t="n"/>
      <c r="G184" s="4" t="n"/>
      <c r="H184" s="4" t="n"/>
      <c r="I184" s="4" t="n"/>
      <c r="J184" s="19" t="n"/>
      <c r="K184" s="19" t="n"/>
      <c r="L184" s="20" t="n"/>
      <c r="M184" s="2" t="inlineStr">
        <is>
          <t>Waiting</t>
        </is>
      </c>
      <c r="N184" s="2" t="n"/>
      <c r="O184" s="2" t="n"/>
      <c r="P184" s="2" t="n"/>
      <c r="Q184" s="28" t="n"/>
      <c r="R184" s="29" t="n"/>
      <c r="S184" s="5" t="inlineStr">
        <is>
          <t>KIPP11MBV21CP003</t>
        </is>
      </c>
      <c r="T184" s="5">
        <f>LEFT(B184,7)</f>
        <v/>
      </c>
    </row>
    <row r="185" ht="30" customFormat="1" customHeight="1" s="5">
      <c r="A185" s="17" t="n">
        <v>184</v>
      </c>
      <c r="B185" s="14" t="n"/>
      <c r="C185" s="14" t="n"/>
      <c r="D185" s="37" t="n"/>
      <c r="E185" s="3" t="n"/>
      <c r="F185" s="3" t="n"/>
      <c r="G185" s="3" t="n"/>
      <c r="H185" s="3" t="n"/>
      <c r="I185" s="4" t="n"/>
      <c r="J185" s="19" t="n"/>
      <c r="K185" s="19" t="n"/>
      <c r="L185" s="20" t="n"/>
      <c r="M185" s="2" t="inlineStr">
        <is>
          <t>Waiting</t>
        </is>
      </c>
      <c r="N185" s="2" t="n"/>
      <c r="O185" s="2" t="n"/>
      <c r="P185" s="2" t="n"/>
      <c r="Q185" s="28" t="n"/>
      <c r="R185" s="29" t="n"/>
      <c r="S185" s="5" t="inlineStr">
        <is>
          <t>KIPP11MBV22CP001</t>
        </is>
      </c>
      <c r="T185" s="5">
        <f>LEFT(B185,7)</f>
        <v/>
      </c>
    </row>
    <row r="186" ht="30" customFormat="1" customHeight="1" s="5">
      <c r="A186" s="17" t="n">
        <v>185</v>
      </c>
      <c r="B186" s="14" t="n"/>
      <c r="C186" s="14" t="n"/>
      <c r="D186" s="37" t="n"/>
      <c r="E186" s="3" t="n"/>
      <c r="F186" s="3" t="n"/>
      <c r="G186" s="3" t="n"/>
      <c r="H186" s="3" t="n"/>
      <c r="I186" s="4" t="n"/>
      <c r="J186" s="19" t="n"/>
      <c r="K186" s="19" t="n"/>
      <c r="L186" s="20" t="n"/>
      <c r="M186" s="2" t="inlineStr">
        <is>
          <t>Waiting</t>
        </is>
      </c>
      <c r="N186" s="2" t="n"/>
      <c r="O186" s="2" t="n"/>
      <c r="P186" s="2" t="n"/>
      <c r="Q186" s="28" t="n"/>
      <c r="R186" s="29" t="n"/>
      <c r="S186" s="5" t="inlineStr">
        <is>
          <t>KIPP11MBV40CP001</t>
        </is>
      </c>
      <c r="T186" s="5">
        <f>LEFT(B186,7)</f>
        <v/>
      </c>
    </row>
    <row r="187" ht="30" customFormat="1" customHeight="1" s="5">
      <c r="A187" s="17" t="n">
        <v>186</v>
      </c>
      <c r="B187" s="14" t="n"/>
      <c r="C187" s="14" t="n"/>
      <c r="D187" s="37" t="n"/>
      <c r="E187" s="3" t="n"/>
      <c r="F187" s="3" t="n"/>
      <c r="G187" s="3" t="n"/>
      <c r="H187" s="3" t="n"/>
      <c r="I187" s="4" t="n"/>
      <c r="J187" s="19" t="n"/>
      <c r="K187" s="19" t="n"/>
      <c r="L187" s="20" t="n"/>
      <c r="M187" s="2" t="inlineStr">
        <is>
          <t>Waiting</t>
        </is>
      </c>
      <c r="N187" s="2" t="n"/>
      <c r="O187" s="2" t="n"/>
      <c r="P187" s="2" t="n"/>
      <c r="Q187" s="28" t="n"/>
      <c r="R187" s="29" t="n"/>
      <c r="S187" s="5" t="inlineStr">
        <is>
          <t>KIPP11MBV40CP002</t>
        </is>
      </c>
      <c r="T187" s="5">
        <f>LEFT(B187,7)</f>
        <v/>
      </c>
    </row>
    <row r="188" ht="30" customFormat="1" customHeight="1" s="5">
      <c r="A188" s="17" t="n">
        <v>187</v>
      </c>
      <c r="B188" s="14" t="n"/>
      <c r="C188" s="14" t="n"/>
      <c r="D188" s="37" t="n"/>
      <c r="E188" s="3" t="n"/>
      <c r="F188" s="3" t="n"/>
      <c r="G188" s="3" t="n"/>
      <c r="H188" s="3" t="n"/>
      <c r="I188" s="4" t="n"/>
      <c r="J188" s="19" t="n"/>
      <c r="K188" s="19" t="n"/>
      <c r="L188" s="20" t="n"/>
      <c r="M188" s="2" t="inlineStr">
        <is>
          <t>Waiting</t>
        </is>
      </c>
      <c r="N188" s="2" t="n"/>
      <c r="O188" s="2" t="n"/>
      <c r="P188" s="2" t="n"/>
      <c r="Q188" s="28" t="n"/>
      <c r="R188" s="29" t="n"/>
      <c r="S188" s="5" t="inlineStr">
        <is>
          <t>KIPP11MBV40CP003</t>
        </is>
      </c>
      <c r="T188" s="5">
        <f>LEFT(B188,7)</f>
        <v/>
      </c>
    </row>
    <row r="189" ht="30" customFormat="1" customHeight="1" s="5">
      <c r="A189" s="17" t="n">
        <v>188</v>
      </c>
      <c r="B189" s="14" t="n"/>
      <c r="C189" s="14" t="n"/>
      <c r="D189" s="37" t="n"/>
      <c r="E189" s="3" t="n"/>
      <c r="F189" s="3" t="n"/>
      <c r="G189" s="3" t="n"/>
      <c r="H189" s="3" t="n"/>
      <c r="I189" s="4" t="n"/>
      <c r="J189" s="19" t="n"/>
      <c r="K189" s="19" t="n"/>
      <c r="L189" s="20" t="n"/>
      <c r="M189" s="2" t="inlineStr">
        <is>
          <t>Waiting</t>
        </is>
      </c>
      <c r="N189" s="2" t="n"/>
      <c r="O189" s="2" t="n"/>
      <c r="P189" s="2" t="n"/>
      <c r="Q189" s="28" t="n"/>
      <c r="R189" s="29" t="n"/>
      <c r="S189" s="5" t="inlineStr">
        <is>
          <t>KIPP11MBX21CP001</t>
        </is>
      </c>
      <c r="T189" s="5">
        <f>LEFT(B189,7)</f>
        <v/>
      </c>
    </row>
    <row r="190" ht="30" customFormat="1" customHeight="1" s="5">
      <c r="A190" s="17" t="n">
        <v>189</v>
      </c>
      <c r="B190" s="14" t="n"/>
      <c r="C190" s="14" t="n"/>
      <c r="D190" s="37" t="n"/>
      <c r="E190" s="3" t="n"/>
      <c r="F190" s="3" t="n"/>
      <c r="G190" s="3" t="n"/>
      <c r="H190" s="3" t="n"/>
      <c r="I190" s="4" t="n"/>
      <c r="J190" s="19" t="n"/>
      <c r="K190" s="19" t="n"/>
      <c r="L190" s="20" t="n"/>
      <c r="M190" s="2" t="inlineStr">
        <is>
          <t>Waiting</t>
        </is>
      </c>
      <c r="N190" s="2" t="n"/>
      <c r="O190" s="2" t="n"/>
      <c r="P190" s="2" t="n"/>
      <c r="Q190" s="28" t="n"/>
      <c r="R190" s="29" t="n"/>
      <c r="S190" s="5" t="inlineStr">
        <is>
          <t>KIPP11MBX21CP002</t>
        </is>
      </c>
      <c r="T190" s="5">
        <f>LEFT(B190,7)</f>
        <v/>
      </c>
    </row>
    <row r="191" ht="30" customFormat="1" customHeight="1" s="5">
      <c r="A191" s="17" t="n">
        <v>190</v>
      </c>
      <c r="B191" s="14" t="n"/>
      <c r="C191" s="14" t="n"/>
      <c r="D191" s="37" t="n"/>
      <c r="E191" s="4" t="n"/>
      <c r="F191" s="4" t="n"/>
      <c r="G191" s="4" t="n"/>
      <c r="H191" s="4" t="n"/>
      <c r="I191" s="4" t="n"/>
      <c r="J191" s="19" t="n"/>
      <c r="K191" s="19" t="n"/>
      <c r="L191" s="19" t="n"/>
      <c r="M191" s="2" t="inlineStr">
        <is>
          <t>Waiting</t>
        </is>
      </c>
      <c r="N191" s="2" t="n"/>
      <c r="O191" s="2" t="n"/>
      <c r="P191" s="2" t="n"/>
      <c r="Q191" s="28" t="n"/>
      <c r="R191" s="29" t="n"/>
      <c r="S191" s="5" t="inlineStr">
        <is>
          <t>KIPP11MBX42CP001</t>
        </is>
      </c>
      <c r="T191" s="5">
        <f>LEFT(B191,7)</f>
        <v/>
      </c>
    </row>
    <row r="192" ht="30" customFormat="1" customHeight="1" s="5">
      <c r="A192" s="17" t="n">
        <v>191</v>
      </c>
      <c r="B192" s="14" t="n"/>
      <c r="C192" s="14" t="n"/>
      <c r="D192" s="37" t="n"/>
      <c r="E192" s="4" t="n"/>
      <c r="F192" s="4" t="n"/>
      <c r="G192" s="4" t="n"/>
      <c r="H192" s="4" t="n"/>
      <c r="I192" s="4" t="n"/>
      <c r="J192" s="19" t="n"/>
      <c r="K192" s="19" t="n"/>
      <c r="L192" s="19" t="n"/>
      <c r="M192" s="2" t="inlineStr">
        <is>
          <t>Waiting</t>
        </is>
      </c>
      <c r="N192" s="2" t="n"/>
      <c r="O192" s="2" t="n"/>
      <c r="P192" s="2" t="n"/>
      <c r="Q192" s="28" t="n"/>
      <c r="R192" s="29" t="n"/>
      <c r="S192" s="5" t="inlineStr">
        <is>
          <t>KIPP12MBA80CP007</t>
        </is>
      </c>
      <c r="T192" s="5">
        <f>LEFT(B192,7)</f>
        <v/>
      </c>
    </row>
    <row r="193" ht="30" customFormat="1" customHeight="1" s="5">
      <c r="A193" s="17" t="n">
        <v>192</v>
      </c>
      <c r="B193" s="14" t="n"/>
      <c r="C193" s="14" t="n"/>
      <c r="D193" s="37" t="n"/>
      <c r="E193" s="4" t="n"/>
      <c r="F193" s="4" t="n"/>
      <c r="G193" s="4" t="n"/>
      <c r="H193" s="4" t="n"/>
      <c r="I193" s="4" t="n"/>
      <c r="J193" s="19" t="n"/>
      <c r="K193" s="19" t="n"/>
      <c r="L193" s="19" t="n"/>
      <c r="M193" s="2" t="inlineStr">
        <is>
          <t>Waiting</t>
        </is>
      </c>
      <c r="N193" s="2" t="n"/>
      <c r="O193" s="2" t="n"/>
      <c r="P193" s="2" t="n"/>
      <c r="Q193" s="28" t="n"/>
      <c r="R193" s="29" t="n"/>
      <c r="S193" s="5" t="inlineStr">
        <is>
          <t>KIPP12MBA80CP008</t>
        </is>
      </c>
      <c r="T193" s="5">
        <f>LEFT(B193,7)</f>
        <v/>
      </c>
    </row>
    <row r="194" ht="30" customFormat="1" customHeight="1" s="5">
      <c r="A194" s="17" t="n">
        <v>193</v>
      </c>
      <c r="B194" s="14" t="n"/>
      <c r="C194" s="14" t="n"/>
      <c r="D194" s="37" t="n"/>
      <c r="E194" s="4" t="n"/>
      <c r="F194" s="4" t="n"/>
      <c r="G194" s="4" t="n"/>
      <c r="H194" s="4" t="n"/>
      <c r="I194" s="4" t="n"/>
      <c r="J194" s="19" t="n"/>
      <c r="K194" s="19" t="n"/>
      <c r="L194" s="19" t="n"/>
      <c r="M194" s="2" t="inlineStr">
        <is>
          <t>Waiting</t>
        </is>
      </c>
      <c r="N194" s="2" t="n"/>
      <c r="O194" s="2" t="n"/>
      <c r="P194" s="2" t="n"/>
      <c r="Q194" s="28" t="n"/>
      <c r="R194" s="29" t="n"/>
      <c r="S194" s="5" t="inlineStr">
        <is>
          <t>KIPP12MBV40CP006</t>
        </is>
      </c>
      <c r="T194" s="5">
        <f>LEFT(B194,7)</f>
        <v/>
      </c>
    </row>
    <row r="195" ht="30" customFormat="1" customHeight="1" s="5">
      <c r="A195" s="17" t="n">
        <v>194</v>
      </c>
      <c r="B195" s="14" t="n"/>
      <c r="C195" s="14" t="n"/>
      <c r="D195" s="37" t="n"/>
      <c r="E195" s="3" t="n"/>
      <c r="F195" s="3" t="n"/>
      <c r="G195" s="4" t="n"/>
      <c r="H195" s="4" t="n"/>
      <c r="I195" s="4" t="n"/>
      <c r="J195" s="19" t="n"/>
      <c r="K195" s="19" t="n"/>
      <c r="L195" s="19" t="n"/>
      <c r="M195" s="2" t="inlineStr">
        <is>
          <t>Waiting</t>
        </is>
      </c>
      <c r="N195" s="2" t="n"/>
      <c r="O195" s="2" t="n"/>
      <c r="P195" s="2" t="n"/>
      <c r="Q195" s="28" t="n"/>
      <c r="R195" s="29" t="n"/>
      <c r="S195" s="5" t="inlineStr">
        <is>
          <t>KIPP12EKG40CP101</t>
        </is>
      </c>
      <c r="T195" s="5">
        <f>LEFT(B195,7)</f>
        <v/>
      </c>
    </row>
    <row r="196" ht="30" customFormat="1" customHeight="1" s="5">
      <c r="A196" s="17" t="n">
        <v>195</v>
      </c>
      <c r="B196" s="14" t="n"/>
      <c r="C196" s="14" t="n"/>
      <c r="D196" s="37" t="n"/>
      <c r="E196" s="3" t="n"/>
      <c r="F196" s="3" t="n"/>
      <c r="G196" s="4" t="n"/>
      <c r="H196" s="4" t="n"/>
      <c r="I196" s="4" t="n"/>
      <c r="J196" s="19" t="n"/>
      <c r="K196" s="19" t="n"/>
      <c r="L196" s="19" t="n"/>
      <c r="M196" s="2" t="inlineStr">
        <is>
          <t>Waiting</t>
        </is>
      </c>
      <c r="N196" s="2" t="n"/>
      <c r="O196" s="2" t="n"/>
      <c r="P196" s="2" t="n"/>
      <c r="Q196" s="28" t="n"/>
      <c r="R196" s="29" t="n"/>
      <c r="S196" s="5" t="inlineStr">
        <is>
          <t>KIPP12MBA30CP001</t>
        </is>
      </c>
      <c r="T196" s="5">
        <f>LEFT(B196,7)</f>
        <v/>
      </c>
    </row>
    <row r="197" ht="30" customFormat="1" customHeight="1" s="5">
      <c r="A197" s="17" t="n">
        <v>196</v>
      </c>
      <c r="B197" s="14" t="n"/>
      <c r="C197" s="14" t="n"/>
      <c r="D197" s="37" t="n"/>
      <c r="E197" s="3" t="n"/>
      <c r="F197" s="3" t="n"/>
      <c r="G197" s="4" t="n"/>
      <c r="H197" s="4" t="n"/>
      <c r="I197" s="4" t="n"/>
      <c r="J197" s="19" t="n"/>
      <c r="K197" s="19" t="n"/>
      <c r="L197" s="19" t="n"/>
      <c r="M197" s="2" t="inlineStr">
        <is>
          <t>Waiting</t>
        </is>
      </c>
      <c r="N197" s="2" t="n"/>
      <c r="O197" s="2" t="n"/>
      <c r="P197" s="2" t="n"/>
      <c r="Q197" s="28" t="n"/>
      <c r="R197" s="29" t="n"/>
      <c r="S197" s="5" t="inlineStr">
        <is>
          <t>KIPP12MBA30CP003</t>
        </is>
      </c>
      <c r="T197" s="5">
        <f>LEFT(B197,7)</f>
        <v/>
      </c>
    </row>
    <row r="198" ht="30" customFormat="1" customHeight="1" s="5">
      <c r="A198" s="17" t="n">
        <v>197</v>
      </c>
      <c r="B198" s="14" t="n"/>
      <c r="C198" s="14" t="n"/>
      <c r="D198" s="37" t="n"/>
      <c r="E198" s="3" t="n"/>
      <c r="F198" s="3" t="n"/>
      <c r="G198" s="4" t="n"/>
      <c r="H198" s="4" t="n"/>
      <c r="I198" s="4" t="n"/>
      <c r="J198" s="19" t="n"/>
      <c r="K198" s="19" t="n"/>
      <c r="L198" s="19" t="n"/>
      <c r="M198" s="2" t="inlineStr">
        <is>
          <t>Waiting</t>
        </is>
      </c>
      <c r="N198" s="2" t="n"/>
      <c r="O198" s="2" t="n"/>
      <c r="P198" s="2" t="n"/>
      <c r="Q198" s="28" t="n"/>
      <c r="R198" s="29" t="n"/>
      <c r="S198" s="5" t="inlineStr">
        <is>
          <t>KIPP12MBA30CP004</t>
        </is>
      </c>
      <c r="T198" s="5">
        <f>LEFT(B198,7)</f>
        <v/>
      </c>
    </row>
    <row r="199" ht="30" customFormat="1" customHeight="1" s="5">
      <c r="A199" s="17" t="n">
        <v>198</v>
      </c>
      <c r="B199" s="14" t="n"/>
      <c r="C199" s="14" t="n"/>
      <c r="D199" s="37" t="n"/>
      <c r="E199" s="4" t="n"/>
      <c r="F199" s="4" t="n"/>
      <c r="G199" s="4" t="n"/>
      <c r="H199" s="4" t="n"/>
      <c r="I199" s="4" t="n"/>
      <c r="J199" s="19" t="n"/>
      <c r="K199" s="19" t="n"/>
      <c r="L199" s="19" t="n"/>
      <c r="M199" s="2" t="inlineStr">
        <is>
          <t>Waiting</t>
        </is>
      </c>
      <c r="N199" s="2" t="n"/>
      <c r="O199" s="2" t="n"/>
      <c r="P199" s="2" t="n"/>
      <c r="Q199" s="28" t="n"/>
      <c r="R199" s="29" t="n"/>
      <c r="S199" s="5" t="inlineStr">
        <is>
          <t>KIPP12MBH30CL001</t>
        </is>
      </c>
      <c r="T199" s="5">
        <f>LEFT(B199,7)</f>
        <v/>
      </c>
    </row>
    <row r="200" ht="30" customFormat="1" customHeight="1" s="5">
      <c r="A200" s="17" t="n">
        <v>199</v>
      </c>
      <c r="B200" s="14" t="n"/>
      <c r="C200" s="14" t="n"/>
      <c r="D200" s="37" t="n"/>
      <c r="E200" s="4" t="n"/>
      <c r="F200" s="4" t="n"/>
      <c r="G200" s="4" t="n"/>
      <c r="H200" s="4" t="n"/>
      <c r="I200" s="4" t="n"/>
      <c r="J200" s="19" t="n"/>
      <c r="K200" s="19" t="n"/>
      <c r="L200" s="19" t="n"/>
      <c r="M200" s="2" t="inlineStr">
        <is>
          <t>Waiting</t>
        </is>
      </c>
      <c r="N200" s="2" t="n"/>
      <c r="O200" s="2" t="n"/>
      <c r="P200" s="2" t="n"/>
      <c r="Q200" s="28" t="n"/>
      <c r="R200" s="29" t="n"/>
      <c r="S200" s="5" t="inlineStr">
        <is>
          <t>KIPP12MBH30CL002</t>
        </is>
      </c>
      <c r="T200" s="5">
        <f>LEFT(B200,7)</f>
        <v/>
      </c>
    </row>
    <row r="201" ht="30" customFormat="1" customHeight="1" s="5">
      <c r="A201" s="17" t="n">
        <v>200</v>
      </c>
      <c r="B201" s="14" t="n"/>
      <c r="C201" s="14" t="n"/>
      <c r="D201" s="37" t="n"/>
      <c r="E201" s="3" t="n"/>
      <c r="F201" s="3" t="n"/>
      <c r="G201" s="4" t="n"/>
      <c r="H201" s="4" t="n"/>
      <c r="I201" s="4" t="n"/>
      <c r="J201" s="19" t="n"/>
      <c r="K201" s="19" t="n"/>
      <c r="L201" s="19" t="n"/>
      <c r="M201" s="2" t="inlineStr">
        <is>
          <t>Waiting</t>
        </is>
      </c>
      <c r="N201" s="2" t="n"/>
      <c r="O201" s="2" t="n"/>
      <c r="P201" s="2" t="n"/>
      <c r="Q201" s="28" t="n"/>
      <c r="R201" s="29" t="n"/>
      <c r="S201" s="5" t="inlineStr">
        <is>
          <t>KIPP12MBH30CP003</t>
        </is>
      </c>
      <c r="T201" s="5">
        <f>LEFT(B201,7)</f>
        <v/>
      </c>
    </row>
    <row r="202" ht="30" customFormat="1" customHeight="1" s="5">
      <c r="A202" s="17" t="n">
        <v>201</v>
      </c>
      <c r="B202" s="14" t="n"/>
      <c r="C202" s="14" t="n"/>
      <c r="D202" s="37" t="n"/>
      <c r="E202" s="3" t="n"/>
      <c r="F202" s="3" t="n"/>
      <c r="G202" s="4" t="n"/>
      <c r="H202" s="4" t="n"/>
      <c r="I202" s="4" t="n"/>
      <c r="J202" s="19" t="n"/>
      <c r="K202" s="19" t="n"/>
      <c r="L202" s="19" t="n"/>
      <c r="M202" s="2" t="inlineStr">
        <is>
          <t>Waiting</t>
        </is>
      </c>
      <c r="N202" s="2" t="n"/>
      <c r="O202" s="2" t="n"/>
      <c r="P202" s="2" t="n"/>
      <c r="Q202" s="28" t="n"/>
      <c r="R202" s="29" t="n"/>
      <c r="S202" s="5" t="inlineStr">
        <is>
          <t>KIPP12MBH30CP004</t>
        </is>
      </c>
      <c r="T202" s="5">
        <f>LEFT(B202,7)</f>
        <v/>
      </c>
    </row>
    <row r="203" ht="30" customFormat="1" customHeight="1" s="5">
      <c r="A203" s="17" t="n">
        <v>202</v>
      </c>
      <c r="B203" s="14" t="n"/>
      <c r="C203" s="14" t="n"/>
      <c r="D203" s="37" t="n"/>
      <c r="E203" s="3" t="n"/>
      <c r="F203" s="3" t="n"/>
      <c r="G203" s="4" t="n"/>
      <c r="H203" s="4" t="n"/>
      <c r="I203" s="4" t="n"/>
      <c r="J203" s="19" t="n"/>
      <c r="K203" s="19" t="n"/>
      <c r="L203" s="19" t="n"/>
      <c r="M203" s="2" t="inlineStr">
        <is>
          <t>Waiting</t>
        </is>
      </c>
      <c r="N203" s="2" t="n"/>
      <c r="O203" s="2" t="n"/>
      <c r="P203" s="2" t="n"/>
      <c r="Q203" s="28" t="n"/>
      <c r="R203" s="29" t="n"/>
      <c r="S203" s="5" t="inlineStr">
        <is>
          <t>KIPP12MBH30CP005</t>
        </is>
      </c>
      <c r="T203" s="5">
        <f>LEFT(B203,7)</f>
        <v/>
      </c>
    </row>
    <row r="204" ht="30" customFormat="1" customHeight="1" s="5">
      <c r="A204" s="17" t="n">
        <v>203</v>
      </c>
      <c r="B204" s="14" t="n"/>
      <c r="C204" s="14" t="n"/>
      <c r="D204" s="37" t="n"/>
      <c r="E204" s="3" t="n"/>
      <c r="F204" s="3" t="n"/>
      <c r="G204" s="4" t="n"/>
      <c r="H204" s="4" t="n"/>
      <c r="I204" s="4" t="n"/>
      <c r="J204" s="19" t="n"/>
      <c r="K204" s="19" t="n"/>
      <c r="L204" s="19" t="n"/>
      <c r="M204" s="2" t="inlineStr">
        <is>
          <t>Waiting</t>
        </is>
      </c>
      <c r="N204" s="2" t="n"/>
      <c r="O204" s="2" t="n"/>
      <c r="P204" s="2" t="n"/>
      <c r="Q204" s="28" t="n"/>
      <c r="R204" s="29" t="n"/>
      <c r="S204" s="5" t="inlineStr">
        <is>
          <t>KIPP12MBH30CP015</t>
        </is>
      </c>
      <c r="T204" s="5">
        <f>LEFT(B204,7)</f>
        <v/>
      </c>
    </row>
    <row r="205" ht="30" customFormat="1" customHeight="1" s="5">
      <c r="A205" s="17" t="n">
        <v>204</v>
      </c>
      <c r="B205" s="14" t="n"/>
      <c r="C205" s="14" t="n"/>
      <c r="D205" s="37" t="n"/>
      <c r="E205" s="3" t="n"/>
      <c r="F205" s="3" t="n"/>
      <c r="G205" s="4" t="n"/>
      <c r="H205" s="4" t="n"/>
      <c r="I205" s="4" t="n"/>
      <c r="J205" s="19" t="n"/>
      <c r="K205" s="19" t="n"/>
      <c r="L205" s="19" t="n"/>
      <c r="M205" s="2" t="inlineStr">
        <is>
          <t>Waiting</t>
        </is>
      </c>
      <c r="N205" s="2" t="n"/>
      <c r="O205" s="2" t="n"/>
      <c r="P205" s="2" t="n"/>
      <c r="Q205" s="28" t="n"/>
      <c r="R205" s="29" t="n"/>
      <c r="S205" s="5" t="inlineStr">
        <is>
          <t>KIPP12MBH30CP020</t>
        </is>
      </c>
      <c r="T205" s="5">
        <f>LEFT(B205,7)</f>
        <v/>
      </c>
    </row>
    <row r="206" ht="30" customFormat="1" customHeight="1" s="5">
      <c r="A206" s="17" t="n">
        <v>205</v>
      </c>
      <c r="B206" s="14" t="n"/>
      <c r="C206" s="14" t="n"/>
      <c r="D206" s="37" t="n"/>
      <c r="E206" s="4" t="n"/>
      <c r="F206" s="4" t="n"/>
      <c r="G206" s="4" t="n"/>
      <c r="H206" s="4" t="n"/>
      <c r="I206" s="4" t="n"/>
      <c r="J206" s="19" t="n"/>
      <c r="K206" s="19" t="n"/>
      <c r="L206" s="19" t="n"/>
      <c r="M206" s="2" t="inlineStr">
        <is>
          <t>Waiting</t>
        </is>
      </c>
      <c r="N206" s="2" t="n"/>
      <c r="O206" s="2" t="n"/>
      <c r="P206" s="2" t="n"/>
      <c r="Q206" s="28" t="n"/>
      <c r="R206" s="29" t="n"/>
      <c r="S206" s="5" t="inlineStr">
        <is>
          <t>KIPP12MBH40CL001</t>
        </is>
      </c>
      <c r="T206" s="5">
        <f>LEFT(B206,7)</f>
        <v/>
      </c>
    </row>
    <row r="207" ht="30" customFormat="1" customHeight="1" s="5">
      <c r="A207" s="17" t="n">
        <v>206</v>
      </c>
      <c r="B207" s="14" t="n"/>
      <c r="C207" s="14" t="n"/>
      <c r="D207" s="37" t="n"/>
      <c r="E207" s="4" t="n"/>
      <c r="F207" s="4" t="n"/>
      <c r="G207" s="4" t="n"/>
      <c r="H207" s="4" t="n"/>
      <c r="I207" s="4" t="n"/>
      <c r="J207" s="19" t="n"/>
      <c r="K207" s="19" t="n"/>
      <c r="L207" s="19" t="n"/>
      <c r="M207" s="2" t="inlineStr">
        <is>
          <t>Waiting</t>
        </is>
      </c>
      <c r="N207" s="2" t="n"/>
      <c r="O207" s="2" t="n"/>
      <c r="P207" s="2" t="n"/>
      <c r="Q207" s="28" t="n"/>
      <c r="R207" s="29" t="n"/>
      <c r="S207" s="5" t="inlineStr">
        <is>
          <t>KIPP12MBH40CL002</t>
        </is>
      </c>
      <c r="T207" s="5">
        <f>LEFT(B207,7)</f>
        <v/>
      </c>
    </row>
    <row r="208" ht="30" customFormat="1" customHeight="1" s="5">
      <c r="A208" s="17" t="n">
        <v>207</v>
      </c>
      <c r="B208" s="14" t="n"/>
      <c r="C208" s="14" t="n"/>
      <c r="D208" s="37" t="n"/>
      <c r="E208" s="4" t="n"/>
      <c r="F208" s="4" t="n"/>
      <c r="G208" s="4" t="n"/>
      <c r="H208" s="4" t="n"/>
      <c r="I208" s="4" t="n"/>
      <c r="J208" s="19" t="n"/>
      <c r="K208" s="19" t="n"/>
      <c r="L208" s="19" t="n"/>
      <c r="M208" s="2" t="inlineStr">
        <is>
          <t>Waiting</t>
        </is>
      </c>
      <c r="N208" s="2" t="n"/>
      <c r="O208" s="2" t="n"/>
      <c r="P208" s="2" t="n"/>
      <c r="Q208" s="28" t="n"/>
      <c r="R208" s="29" t="n"/>
      <c r="S208" s="5" t="inlineStr">
        <is>
          <t>KIPP12MBH40CP015</t>
        </is>
      </c>
      <c r="T208" s="5">
        <f>LEFT(B208,7)</f>
        <v/>
      </c>
    </row>
    <row r="209" ht="30" customFormat="1" customHeight="1" s="5">
      <c r="A209" s="17" t="n">
        <v>208</v>
      </c>
      <c r="B209" s="14" t="n"/>
      <c r="C209" s="14" t="n"/>
      <c r="D209" s="37" t="n"/>
      <c r="E209" s="4" t="n"/>
      <c r="F209" s="4" t="n"/>
      <c r="G209" s="4" t="n"/>
      <c r="H209" s="4" t="n"/>
      <c r="I209" s="4" t="n"/>
      <c r="J209" s="19" t="n"/>
      <c r="K209" s="19" t="n"/>
      <c r="L209" s="19" t="n"/>
      <c r="M209" s="2" t="inlineStr">
        <is>
          <t>Waiting</t>
        </is>
      </c>
      <c r="N209" s="2" t="n"/>
      <c r="O209" s="2" t="n"/>
      <c r="P209" s="2" t="n"/>
      <c r="Q209" s="28" t="n"/>
      <c r="R209" s="29" t="n"/>
      <c r="S209" s="5" t="inlineStr">
        <is>
          <t>KIPP12MBH52CP001</t>
        </is>
      </c>
      <c r="T209" s="5">
        <f>LEFT(B209,7)</f>
        <v/>
      </c>
    </row>
    <row r="210" ht="30" customFormat="1" customHeight="1" s="5">
      <c r="A210" s="17" t="n">
        <v>209</v>
      </c>
      <c r="B210" s="14" t="n"/>
      <c r="C210" s="14" t="n"/>
      <c r="D210" s="37" t="n"/>
      <c r="E210" s="4" t="n"/>
      <c r="F210" s="4" t="n"/>
      <c r="G210" s="4" t="n"/>
      <c r="H210" s="4" t="n"/>
      <c r="I210" s="4" t="n"/>
      <c r="J210" s="19" t="n"/>
      <c r="K210" s="19" t="n"/>
      <c r="L210" s="19" t="n"/>
      <c r="M210" s="2" t="inlineStr">
        <is>
          <t>Waiting</t>
        </is>
      </c>
      <c r="N210" s="2" t="n"/>
      <c r="O210" s="2" t="n"/>
      <c r="P210" s="2" t="n"/>
      <c r="Q210" s="28" t="n"/>
      <c r="R210" s="29" t="n"/>
      <c r="S210" s="5" t="inlineStr">
        <is>
          <t>KIPP12MBH60CP001</t>
        </is>
      </c>
      <c r="T210" s="5">
        <f>LEFT(B210,7)</f>
        <v/>
      </c>
    </row>
    <row r="211" ht="30" customFormat="1" customHeight="1" s="5">
      <c r="A211" s="17" t="n">
        <v>210</v>
      </c>
      <c r="B211" s="14" t="n"/>
      <c r="C211" s="14" t="n"/>
      <c r="D211" s="37" t="n"/>
      <c r="E211" s="3" t="n"/>
      <c r="F211" s="3" t="n"/>
      <c r="G211" s="4" t="n"/>
      <c r="H211" s="4" t="n"/>
      <c r="I211" s="4" t="n"/>
      <c r="J211" s="19" t="n"/>
      <c r="K211" s="19" t="n"/>
      <c r="L211" s="19" t="n"/>
      <c r="M211" s="2" t="inlineStr">
        <is>
          <t>Waiting</t>
        </is>
      </c>
      <c r="N211" s="2" t="n"/>
      <c r="O211" s="2" t="n"/>
      <c r="P211" s="2" t="n"/>
      <c r="Q211" s="28" t="n"/>
      <c r="R211" s="29" t="n"/>
      <c r="S211" s="5" t="inlineStr">
        <is>
          <t>KIPP12MBH80CP011</t>
        </is>
      </c>
      <c r="T211" s="5">
        <f>LEFT(B211,7)</f>
        <v/>
      </c>
    </row>
    <row r="212" ht="30" customFormat="1" customHeight="1" s="5">
      <c r="A212" s="17" t="n">
        <v>211</v>
      </c>
      <c r="B212" s="14" t="n"/>
      <c r="C212" s="14" t="n"/>
      <c r="D212" s="37" t="n"/>
      <c r="E212" s="3" t="n"/>
      <c r="F212" s="3" t="n"/>
      <c r="G212" s="4" t="n"/>
      <c r="H212" s="4" t="n"/>
      <c r="I212" s="4" t="n"/>
      <c r="J212" s="19" t="n"/>
      <c r="K212" s="19" t="n"/>
      <c r="L212" s="19" t="n"/>
      <c r="M212" s="2" t="inlineStr">
        <is>
          <t>Waiting</t>
        </is>
      </c>
      <c r="N212" s="2" t="n"/>
      <c r="O212" s="2" t="n"/>
      <c r="P212" s="2" t="n"/>
      <c r="Q212" s="28" t="n"/>
      <c r="R212" s="29" t="n"/>
      <c r="S212" s="5" t="inlineStr">
        <is>
          <t>KIPP12MBH80CP012</t>
        </is>
      </c>
      <c r="T212" s="5">
        <f>LEFT(B212,7)</f>
        <v/>
      </c>
    </row>
    <row r="213" ht="30" customFormat="1" customHeight="1" s="5">
      <c r="A213" s="17" t="n">
        <v>212</v>
      </c>
      <c r="B213" s="14" t="n"/>
      <c r="C213" s="14" t="n"/>
      <c r="D213" s="37" t="n"/>
      <c r="E213" s="4" t="n"/>
      <c r="F213" s="4" t="n"/>
      <c r="G213" s="4" t="n"/>
      <c r="H213" s="4" t="n"/>
      <c r="I213" s="4" t="n"/>
      <c r="J213" s="19" t="n"/>
      <c r="K213" s="19" t="n"/>
      <c r="L213" s="19" t="n"/>
      <c r="M213" s="2" t="inlineStr">
        <is>
          <t>Waiting</t>
        </is>
      </c>
      <c r="N213" s="2" t="n"/>
      <c r="O213" s="2" t="n"/>
      <c r="P213" s="2" t="n"/>
      <c r="Q213" s="28" t="n"/>
      <c r="R213" s="29" t="n"/>
      <c r="S213" s="5" t="inlineStr">
        <is>
          <t>KIPP12MBH90CP001</t>
        </is>
      </c>
      <c r="T213" s="5">
        <f>LEFT(B213,7)</f>
        <v/>
      </c>
    </row>
    <row r="214" ht="30" customFormat="1" customHeight="1" s="5">
      <c r="A214" s="17" t="n">
        <v>213</v>
      </c>
      <c r="B214" s="14" t="n"/>
      <c r="C214" s="14" t="n"/>
      <c r="D214" s="37" t="n"/>
      <c r="E214" s="4" t="n"/>
      <c r="F214" s="4" t="n"/>
      <c r="G214" s="4" t="n"/>
      <c r="H214" s="4" t="n"/>
      <c r="I214" s="4" t="n"/>
      <c r="J214" s="19" t="n"/>
      <c r="K214" s="19" t="n"/>
      <c r="L214" s="19" t="n"/>
      <c r="M214" s="2" t="inlineStr">
        <is>
          <t>Waiting</t>
        </is>
      </c>
      <c r="N214" s="2" t="n"/>
      <c r="O214" s="2" t="n"/>
      <c r="P214" s="2" t="n"/>
      <c r="Q214" s="28" t="n"/>
      <c r="R214" s="29" t="n"/>
      <c r="S214" s="5" t="inlineStr">
        <is>
          <t>KIPP12MBH90CP004</t>
        </is>
      </c>
      <c r="T214" s="5">
        <f>LEFT(B214,7)</f>
        <v/>
      </c>
    </row>
    <row r="215" ht="30" customFormat="1" customHeight="1" s="5">
      <c r="A215" s="17" t="n">
        <v>214</v>
      </c>
      <c r="B215" s="14" t="n"/>
      <c r="C215" s="14" t="n"/>
      <c r="D215" s="37" t="n"/>
      <c r="E215" s="3" t="n"/>
      <c r="F215" s="3" t="n"/>
      <c r="G215" s="4" t="n"/>
      <c r="H215" s="4" t="n"/>
      <c r="I215" s="4" t="n"/>
      <c r="J215" s="19" t="n"/>
      <c r="K215" s="19" t="n"/>
      <c r="L215" s="19" t="n"/>
      <c r="M215" s="2" t="inlineStr">
        <is>
          <t>Waiting</t>
        </is>
      </c>
      <c r="N215" s="2" t="n"/>
      <c r="O215" s="2" t="n"/>
      <c r="P215" s="2" t="n"/>
      <c r="Q215" s="28" t="n"/>
      <c r="R215" s="29" t="n"/>
      <c r="S215" s="5" t="inlineStr">
        <is>
          <t>KIPP12MBL01CP011</t>
        </is>
      </c>
      <c r="T215" s="5">
        <f>LEFT(B215,7)</f>
        <v/>
      </c>
    </row>
    <row r="216" ht="30" customFormat="1" customHeight="1" s="5">
      <c r="A216" s="17" t="n">
        <v>215</v>
      </c>
      <c r="B216" s="14" t="n"/>
      <c r="C216" s="14" t="n"/>
      <c r="D216" s="37" t="n"/>
      <c r="E216" s="3" t="n"/>
      <c r="F216" s="3" t="n"/>
      <c r="G216" s="4" t="n"/>
      <c r="H216" s="4" t="n"/>
      <c r="I216" s="4" t="n"/>
      <c r="J216" s="19" t="n"/>
      <c r="K216" s="19" t="n"/>
      <c r="L216" s="19" t="n"/>
      <c r="M216" s="2" t="inlineStr">
        <is>
          <t>Waiting</t>
        </is>
      </c>
      <c r="N216" s="2" t="n"/>
      <c r="O216" s="2" t="n"/>
      <c r="P216" s="2" t="n"/>
      <c r="Q216" s="28" t="n"/>
      <c r="R216" s="29" t="n"/>
      <c r="S216" s="5" t="inlineStr">
        <is>
          <t>KIPP12MBL01CP012</t>
        </is>
      </c>
      <c r="T216" s="5">
        <f>LEFT(B216,7)</f>
        <v/>
      </c>
    </row>
    <row r="217" ht="30" customFormat="1" customHeight="1" s="5">
      <c r="A217" s="17" t="n">
        <v>216</v>
      </c>
      <c r="B217" s="14" t="n"/>
      <c r="C217" s="14" t="n"/>
      <c r="D217" s="37" t="n"/>
      <c r="E217" s="3" t="n"/>
      <c r="F217" s="3" t="n"/>
      <c r="G217" s="4" t="n"/>
      <c r="H217" s="4" t="n"/>
      <c r="I217" s="4" t="n"/>
      <c r="J217" s="19" t="n"/>
      <c r="K217" s="19" t="n"/>
      <c r="L217" s="19" t="n"/>
      <c r="M217" s="2" t="inlineStr">
        <is>
          <t>Waiting</t>
        </is>
      </c>
      <c r="N217" s="2" t="n"/>
      <c r="O217" s="2" t="n"/>
      <c r="P217" s="2" t="n"/>
      <c r="Q217" s="28" t="n"/>
      <c r="R217" s="29" t="n"/>
      <c r="S217" s="5" t="inlineStr">
        <is>
          <t>KIPP12MBL51CP001</t>
        </is>
      </c>
      <c r="T217" s="5">
        <f>LEFT(B217,7)</f>
        <v/>
      </c>
    </row>
    <row r="218" ht="30" customFormat="1" customHeight="1" s="5">
      <c r="A218" s="17" t="n">
        <v>217</v>
      </c>
      <c r="B218" s="14" t="n"/>
      <c r="C218" s="14" t="n"/>
      <c r="D218" s="37" t="n"/>
      <c r="E218" s="3" t="n"/>
      <c r="F218" s="3" t="n"/>
      <c r="G218" s="4" t="n"/>
      <c r="H218" s="4" t="n"/>
      <c r="I218" s="4" t="n"/>
      <c r="J218" s="19" t="n"/>
      <c r="K218" s="19" t="n"/>
      <c r="L218" s="19" t="n"/>
      <c r="M218" s="2" t="inlineStr">
        <is>
          <t>Waiting</t>
        </is>
      </c>
      <c r="N218" s="2" t="n"/>
      <c r="O218" s="2" t="n"/>
      <c r="P218" s="2" t="n"/>
      <c r="Q218" s="28" t="n"/>
      <c r="R218" s="29" t="n"/>
      <c r="S218" s="5" t="inlineStr">
        <is>
          <t>KIPP12MBL51CP002</t>
        </is>
      </c>
      <c r="T218" s="5">
        <f>LEFT(B218,7)</f>
        <v/>
      </c>
    </row>
    <row r="219" ht="30" customFormat="1" customHeight="1" s="5">
      <c r="A219" s="17" t="n">
        <v>218</v>
      </c>
      <c r="B219" s="14" t="n"/>
      <c r="C219" s="14" t="n"/>
      <c r="D219" s="37" t="n"/>
      <c r="E219" s="3" t="n"/>
      <c r="F219" s="3" t="n"/>
      <c r="G219" s="4" t="n"/>
      <c r="H219" s="4" t="n"/>
      <c r="I219" s="4" t="n"/>
      <c r="J219" s="19" t="n"/>
      <c r="K219" s="19" t="n"/>
      <c r="L219" s="19" t="n"/>
      <c r="M219" s="2" t="inlineStr">
        <is>
          <t>Waiting</t>
        </is>
      </c>
      <c r="N219" s="2" t="n"/>
      <c r="O219" s="2" t="n"/>
      <c r="P219" s="2" t="n"/>
      <c r="Q219" s="28" t="n"/>
      <c r="R219" s="29" t="n"/>
      <c r="S219" s="5" t="inlineStr">
        <is>
          <t>KIPP12MBL51CP012</t>
        </is>
      </c>
      <c r="T219" s="5">
        <f>LEFT(B219,7)</f>
        <v/>
      </c>
    </row>
    <row r="220" ht="30" customFormat="1" customHeight="1" s="5">
      <c r="A220" s="17" t="n">
        <v>219</v>
      </c>
      <c r="B220" s="14" t="n"/>
      <c r="C220" s="14" t="n"/>
      <c r="D220" s="37" t="n"/>
      <c r="E220" s="3" t="n"/>
      <c r="F220" s="3" t="n"/>
      <c r="G220" s="4" t="n"/>
      <c r="H220" s="4" t="n"/>
      <c r="I220" s="4" t="n"/>
      <c r="J220" s="19" t="n"/>
      <c r="K220" s="19" t="n"/>
      <c r="L220" s="19" t="n"/>
      <c r="M220" s="2" t="inlineStr">
        <is>
          <t>Waiting</t>
        </is>
      </c>
      <c r="N220" s="2" t="n"/>
      <c r="O220" s="2" t="n"/>
      <c r="P220" s="2" t="n"/>
      <c r="Q220" s="28" t="n"/>
      <c r="R220" s="29" t="n"/>
      <c r="S220" s="5" t="inlineStr">
        <is>
          <t>KIPP12MBP01CP003</t>
        </is>
      </c>
      <c r="T220" s="5">
        <f>LEFT(B220,7)</f>
        <v/>
      </c>
    </row>
    <row r="221" ht="30" customFormat="1" customHeight="1" s="5">
      <c r="A221" s="17" t="n">
        <v>220</v>
      </c>
      <c r="B221" s="14" t="n"/>
      <c r="C221" s="14" t="n"/>
      <c r="D221" s="37" t="n"/>
      <c r="E221" s="3" t="n"/>
      <c r="F221" s="3" t="n"/>
      <c r="G221" s="4" t="n"/>
      <c r="H221" s="4" t="n"/>
      <c r="I221" s="4" t="n"/>
      <c r="J221" s="19" t="n"/>
      <c r="K221" s="19" t="n"/>
      <c r="L221" s="19" t="n"/>
      <c r="M221" s="2" t="inlineStr">
        <is>
          <t>Waiting</t>
        </is>
      </c>
      <c r="N221" s="2" t="n"/>
      <c r="O221" s="2" t="n"/>
      <c r="P221" s="2" t="n"/>
      <c r="Q221" s="28" t="n"/>
      <c r="R221" s="29" t="n"/>
      <c r="S221" s="5" t="inlineStr">
        <is>
          <t>KIPP12MBP05CP102</t>
        </is>
      </c>
      <c r="T221" s="5">
        <f>LEFT(B221,7)</f>
        <v/>
      </c>
    </row>
    <row r="222" ht="30" customFormat="1" customHeight="1" s="5">
      <c r="A222" s="17" t="n">
        <v>221</v>
      </c>
      <c r="B222" s="14" t="n"/>
      <c r="C222" s="14" t="n"/>
      <c r="D222" s="37" t="n"/>
      <c r="E222" s="4" t="n"/>
      <c r="F222" s="4" t="n"/>
      <c r="G222" s="4" t="n"/>
      <c r="H222" s="4" t="n"/>
      <c r="I222" s="4" t="n"/>
      <c r="J222" s="19" t="n"/>
      <c r="K222" s="19" t="n"/>
      <c r="L222" s="19" t="n"/>
      <c r="M222" s="2" t="inlineStr">
        <is>
          <t>Waiting</t>
        </is>
      </c>
      <c r="N222" s="2" t="n"/>
      <c r="O222" s="2" t="n"/>
      <c r="P222" s="2" t="n"/>
      <c r="Q222" s="28" t="n"/>
      <c r="R222" s="29" t="n"/>
      <c r="S222" s="5" t="inlineStr">
        <is>
          <t>KIPP12MBP41CP001</t>
        </is>
      </c>
      <c r="T222" s="5">
        <f>LEFT(B222,7)</f>
        <v/>
      </c>
    </row>
    <row r="223" ht="30" customFormat="1" customHeight="1" s="5">
      <c r="A223" s="17" t="n">
        <v>222</v>
      </c>
      <c r="B223" s="14" t="n"/>
      <c r="C223" s="14" t="n"/>
      <c r="D223" s="37" t="n"/>
      <c r="E223" s="4" t="n"/>
      <c r="F223" s="4" t="n"/>
      <c r="G223" s="4" t="n"/>
      <c r="H223" s="4" t="n"/>
      <c r="I223" s="4" t="n"/>
      <c r="J223" s="19" t="n"/>
      <c r="K223" s="19" t="n"/>
      <c r="L223" s="19" t="n"/>
      <c r="M223" s="2" t="inlineStr">
        <is>
          <t>Waiting</t>
        </is>
      </c>
      <c r="N223" s="2" t="n"/>
      <c r="O223" s="2" t="n"/>
      <c r="P223" s="2" t="n"/>
      <c r="Q223" s="28" t="n"/>
      <c r="R223" s="29" t="n"/>
      <c r="S223" s="5" t="inlineStr">
        <is>
          <t>KIPP12MBP41CP004</t>
        </is>
      </c>
      <c r="T223" s="5">
        <f>LEFT(B223,7)</f>
        <v/>
      </c>
    </row>
    <row r="224" ht="30" customFormat="1" customHeight="1" s="5">
      <c r="A224" s="17" t="n">
        <v>223</v>
      </c>
      <c r="B224" s="14" t="n"/>
      <c r="C224" s="14" t="n"/>
      <c r="D224" s="37" t="n"/>
      <c r="E224" s="4" t="n"/>
      <c r="F224" s="4" t="n"/>
      <c r="G224" s="4" t="n"/>
      <c r="H224" s="4" t="n"/>
      <c r="I224" s="4" t="n"/>
      <c r="J224" s="19" t="n"/>
      <c r="K224" s="19" t="n"/>
      <c r="L224" s="19" t="n"/>
      <c r="M224" s="2" t="inlineStr">
        <is>
          <t>Waiting</t>
        </is>
      </c>
      <c r="N224" s="2" t="n"/>
      <c r="O224" s="2" t="n"/>
      <c r="P224" s="2" t="n"/>
      <c r="Q224" s="28" t="n"/>
      <c r="R224" s="29" t="n"/>
      <c r="S224" s="5" t="inlineStr">
        <is>
          <t>KIPP12MBP41CP006</t>
        </is>
      </c>
      <c r="T224" s="5">
        <f>LEFT(B224,7)</f>
        <v/>
      </c>
    </row>
    <row r="225" ht="30" customFormat="1" customHeight="1" s="5">
      <c r="A225" s="17" t="n">
        <v>224</v>
      </c>
      <c r="B225" s="14" t="n"/>
      <c r="C225" s="14" t="n"/>
      <c r="D225" s="37" t="n"/>
      <c r="E225" s="4" t="n"/>
      <c r="F225" s="4" t="n"/>
      <c r="G225" s="4" t="n"/>
      <c r="H225" s="4" t="n"/>
      <c r="I225" s="4" t="n"/>
      <c r="J225" s="19" t="n"/>
      <c r="K225" s="19" t="n"/>
      <c r="L225" s="19" t="n"/>
      <c r="M225" s="2" t="inlineStr">
        <is>
          <t>Waiting</t>
        </is>
      </c>
      <c r="N225" s="2" t="n"/>
      <c r="O225" s="2" t="n"/>
      <c r="P225" s="2" t="n"/>
      <c r="Q225" s="28" t="n"/>
      <c r="R225" s="29" t="n"/>
      <c r="S225" s="5" t="inlineStr">
        <is>
          <t>KIPP12MBP42CP001</t>
        </is>
      </c>
      <c r="T225" s="5">
        <f>LEFT(B225,7)</f>
        <v/>
      </c>
    </row>
    <row r="226" ht="30" customFormat="1" customHeight="1" s="5">
      <c r="A226" s="17" t="n">
        <v>225</v>
      </c>
      <c r="B226" s="14" t="n"/>
      <c r="C226" s="14" t="n"/>
      <c r="D226" s="37" t="n"/>
      <c r="E226" s="4" t="n"/>
      <c r="F226" s="4" t="n"/>
      <c r="G226" s="4" t="n"/>
      <c r="H226" s="4" t="n"/>
      <c r="I226" s="4" t="n"/>
      <c r="J226" s="19" t="n"/>
      <c r="K226" s="19" t="n"/>
      <c r="L226" s="19" t="n"/>
      <c r="M226" s="2" t="inlineStr">
        <is>
          <t>Waiting</t>
        </is>
      </c>
      <c r="N226" s="2" t="n"/>
      <c r="O226" s="2" t="n"/>
      <c r="P226" s="2" t="n"/>
      <c r="Q226" s="28" t="n"/>
      <c r="R226" s="29" t="n"/>
      <c r="S226" s="5" t="inlineStr">
        <is>
          <t>KIPP12MBP42CP004</t>
        </is>
      </c>
      <c r="T226" s="5">
        <f>LEFT(B226,7)</f>
        <v/>
      </c>
    </row>
    <row r="227" ht="30" customFormat="1" customHeight="1" s="5">
      <c r="A227" s="17" t="n">
        <v>226</v>
      </c>
      <c r="B227" s="14" t="n"/>
      <c r="C227" s="14" t="n"/>
      <c r="D227" s="37" t="n"/>
      <c r="E227" s="4" t="n"/>
      <c r="F227" s="4" t="n"/>
      <c r="G227" s="4" t="n"/>
      <c r="H227" s="4" t="n"/>
      <c r="I227" s="4" t="n"/>
      <c r="J227" s="19" t="n"/>
      <c r="K227" s="19" t="n"/>
      <c r="L227" s="19" t="n"/>
      <c r="M227" s="2" t="inlineStr">
        <is>
          <t>Waiting</t>
        </is>
      </c>
      <c r="N227" s="2" t="n"/>
      <c r="O227" s="2" t="n"/>
      <c r="P227" s="2" t="n"/>
      <c r="Q227" s="28" t="n"/>
      <c r="R227" s="29" t="n"/>
      <c r="S227" s="5" t="inlineStr">
        <is>
          <t>KIPP12MBP42CP006</t>
        </is>
      </c>
      <c r="T227" s="5">
        <f>LEFT(B227,7)</f>
        <v/>
      </c>
    </row>
    <row r="228" ht="30" customFormat="1" customHeight="1" s="5">
      <c r="A228" s="17" t="n">
        <v>227</v>
      </c>
      <c r="B228" s="14" t="n"/>
      <c r="C228" s="14" t="n"/>
      <c r="D228" s="37" t="n"/>
      <c r="E228" s="4" t="n"/>
      <c r="F228" s="4" t="n"/>
      <c r="G228" s="4" t="n"/>
      <c r="H228" s="4" t="n"/>
      <c r="I228" s="4" t="n"/>
      <c r="J228" s="19" t="n"/>
      <c r="K228" s="19" t="n"/>
      <c r="L228" s="19" t="n"/>
      <c r="M228" s="2" t="inlineStr">
        <is>
          <t>Waiting</t>
        </is>
      </c>
      <c r="N228" s="2" t="n"/>
      <c r="O228" s="2" t="n"/>
      <c r="P228" s="2" t="n"/>
      <c r="Q228" s="28" t="n"/>
      <c r="R228" s="29" t="n"/>
      <c r="S228" s="5" t="inlineStr">
        <is>
          <t>KIPP12MBP43CP001</t>
        </is>
      </c>
      <c r="T228" s="5">
        <f>LEFT(B228,7)</f>
        <v/>
      </c>
    </row>
    <row r="229" ht="30" customFormat="1" customHeight="1" s="5">
      <c r="A229" s="17" t="n">
        <v>228</v>
      </c>
      <c r="B229" s="14" t="n"/>
      <c r="C229" s="14" t="n"/>
      <c r="D229" s="37" t="n"/>
      <c r="E229" s="4" t="n"/>
      <c r="F229" s="4" t="n"/>
      <c r="G229" s="4" t="n"/>
      <c r="H229" s="4" t="n"/>
      <c r="I229" s="4" t="n"/>
      <c r="J229" s="19" t="n"/>
      <c r="K229" s="19" t="n"/>
      <c r="L229" s="19" t="n"/>
      <c r="M229" s="2" t="inlineStr">
        <is>
          <t>Waiting</t>
        </is>
      </c>
      <c r="N229" s="2" t="n"/>
      <c r="O229" s="2" t="n"/>
      <c r="P229" s="2" t="n"/>
      <c r="Q229" s="28" t="n"/>
      <c r="R229" s="29" t="n"/>
      <c r="S229" s="5" t="inlineStr">
        <is>
          <t>KIPP12MBP43CP004</t>
        </is>
      </c>
      <c r="T229" s="5">
        <f>LEFT(B229,7)</f>
        <v/>
      </c>
    </row>
    <row r="230" ht="30" customFormat="1" customHeight="1" s="5">
      <c r="A230" s="17" t="n">
        <v>229</v>
      </c>
      <c r="B230" s="14" t="n"/>
      <c r="C230" s="14" t="n"/>
      <c r="D230" s="37" t="n"/>
      <c r="E230" s="4" t="n"/>
      <c r="F230" s="4" t="n"/>
      <c r="G230" s="4" t="n"/>
      <c r="H230" s="4" t="n"/>
      <c r="I230" s="4" t="n"/>
      <c r="J230" s="19" t="n"/>
      <c r="K230" s="19" t="n"/>
      <c r="L230" s="19" t="n"/>
      <c r="M230" s="2" t="inlineStr">
        <is>
          <t>Waiting</t>
        </is>
      </c>
      <c r="N230" s="2" t="n"/>
      <c r="O230" s="2" t="n"/>
      <c r="P230" s="2" t="n"/>
      <c r="Q230" s="28" t="n"/>
      <c r="R230" s="29" t="n"/>
      <c r="S230" s="5" t="inlineStr">
        <is>
          <t>KIPP12MBP43CP006</t>
        </is>
      </c>
      <c r="T230" s="5">
        <f>LEFT(B230,7)</f>
        <v/>
      </c>
    </row>
    <row r="231" ht="30" customFormat="1" customHeight="1" s="5">
      <c r="A231" s="17" t="n">
        <v>230</v>
      </c>
      <c r="B231" s="14" t="n"/>
      <c r="C231" s="14" t="n"/>
      <c r="D231" s="37" t="n"/>
      <c r="E231" s="3" t="n"/>
      <c r="F231" s="3" t="n"/>
      <c r="G231" s="4" t="n"/>
      <c r="H231" s="4" t="n"/>
      <c r="I231" s="4" t="n"/>
      <c r="J231" s="19" t="n"/>
      <c r="K231" s="19" t="n"/>
      <c r="L231" s="19" t="n"/>
      <c r="M231" s="2" t="inlineStr">
        <is>
          <t>Waiting</t>
        </is>
      </c>
      <c r="N231" s="2" t="n"/>
      <c r="O231" s="2" t="n"/>
      <c r="P231" s="2" t="n"/>
      <c r="Q231" s="28" t="n"/>
      <c r="R231" s="29" t="n"/>
      <c r="S231" s="5" t="inlineStr">
        <is>
          <t>KIPP12MBV10CP001</t>
        </is>
      </c>
      <c r="T231" s="5">
        <f>LEFT(B231,7)</f>
        <v/>
      </c>
    </row>
    <row r="232" ht="30" customFormat="1" customHeight="1" s="5">
      <c r="A232" s="17" t="n">
        <v>231</v>
      </c>
      <c r="B232" s="14" t="n"/>
      <c r="C232" s="14" t="n"/>
      <c r="D232" s="37" t="n"/>
      <c r="E232" s="3" t="n"/>
      <c r="F232" s="3" t="n"/>
      <c r="G232" s="4" t="n"/>
      <c r="H232" s="4" t="n"/>
      <c r="I232" s="4" t="n"/>
      <c r="J232" s="19" t="n"/>
      <c r="K232" s="19" t="n"/>
      <c r="L232" s="19" t="n"/>
      <c r="M232" s="2" t="inlineStr">
        <is>
          <t>Waiting</t>
        </is>
      </c>
      <c r="N232" s="2" t="n"/>
      <c r="O232" s="2" t="n"/>
      <c r="P232" s="2" t="n"/>
      <c r="Q232" s="28" t="n"/>
      <c r="R232" s="29" t="n"/>
      <c r="S232" s="5" t="inlineStr">
        <is>
          <t>KIPP12MBV21CP003</t>
        </is>
      </c>
      <c r="T232" s="5">
        <f>LEFT(B232,7)</f>
        <v/>
      </c>
    </row>
    <row r="233" ht="30" customFormat="1" customHeight="1" s="5">
      <c r="A233" s="17" t="n">
        <v>232</v>
      </c>
      <c r="B233" s="14" t="n"/>
      <c r="C233" s="14" t="n"/>
      <c r="D233" s="37" t="n"/>
      <c r="E233" s="3" t="n"/>
      <c r="F233" s="3" t="n"/>
      <c r="G233" s="4" t="n"/>
      <c r="H233" s="4" t="n"/>
      <c r="I233" s="4" t="n"/>
      <c r="J233" s="19" t="n"/>
      <c r="K233" s="19" t="n"/>
      <c r="L233" s="19" t="n"/>
      <c r="M233" s="2" t="inlineStr">
        <is>
          <t>Waiting</t>
        </is>
      </c>
      <c r="N233" s="2" t="n"/>
      <c r="O233" s="2" t="n"/>
      <c r="P233" s="2" t="n"/>
      <c r="Q233" s="28" t="n"/>
      <c r="R233" s="29" t="n"/>
      <c r="S233" s="5" t="inlineStr">
        <is>
          <t>KIPP12MBV22CP001</t>
        </is>
      </c>
      <c r="T233" s="5">
        <f>LEFT(B233,7)</f>
        <v/>
      </c>
    </row>
    <row r="234" ht="30" customFormat="1" customHeight="1" s="5">
      <c r="A234" s="17" t="n">
        <v>233</v>
      </c>
      <c r="B234" s="14" t="n"/>
      <c r="C234" s="14" t="n"/>
      <c r="D234" s="37" t="n"/>
      <c r="E234" s="3" t="n"/>
      <c r="F234" s="3" t="n"/>
      <c r="G234" s="4" t="n"/>
      <c r="H234" s="4" t="n"/>
      <c r="I234" s="4" t="n"/>
      <c r="J234" s="19" t="n"/>
      <c r="K234" s="19" t="n"/>
      <c r="L234" s="19" t="n"/>
      <c r="M234" s="2" t="inlineStr">
        <is>
          <t>Waiting</t>
        </is>
      </c>
      <c r="N234" s="2" t="n"/>
      <c r="O234" s="2" t="n"/>
      <c r="P234" s="2" t="n"/>
      <c r="Q234" s="28" t="n"/>
      <c r="R234" s="29" t="n"/>
      <c r="S234" s="5" t="inlineStr">
        <is>
          <t>KIPP12MBV40CP001</t>
        </is>
      </c>
      <c r="T234" s="5">
        <f>LEFT(B234,7)</f>
        <v/>
      </c>
    </row>
    <row r="235" ht="30" customFormat="1" customHeight="1" s="5">
      <c r="A235" s="17" t="n">
        <v>234</v>
      </c>
      <c r="B235" s="14" t="n"/>
      <c r="C235" s="14" t="n"/>
      <c r="D235" s="37" t="n"/>
      <c r="E235" s="3" t="n"/>
      <c r="F235" s="3" t="n"/>
      <c r="G235" s="4" t="n"/>
      <c r="H235" s="4" t="n"/>
      <c r="I235" s="4" t="n"/>
      <c r="J235" s="19" t="n"/>
      <c r="K235" s="19" t="n"/>
      <c r="L235" s="19" t="n"/>
      <c r="M235" s="2" t="inlineStr">
        <is>
          <t>Waiting</t>
        </is>
      </c>
      <c r="N235" s="2" t="n"/>
      <c r="O235" s="2" t="n"/>
      <c r="P235" s="2" t="n"/>
      <c r="Q235" s="28" t="n"/>
      <c r="R235" s="29" t="n"/>
      <c r="S235" s="5" t="inlineStr">
        <is>
          <t>KIPP12MBV40CP002</t>
        </is>
      </c>
      <c r="T235" s="5">
        <f>LEFT(B235,7)</f>
        <v/>
      </c>
    </row>
    <row r="236" ht="30" customFormat="1" customHeight="1" s="5">
      <c r="A236" s="17" t="n">
        <v>235</v>
      </c>
      <c r="B236" s="14" t="n"/>
      <c r="C236" s="14" t="n"/>
      <c r="D236" s="37" t="n"/>
      <c r="E236" s="3" t="n"/>
      <c r="F236" s="3" t="n"/>
      <c r="G236" s="4" t="n"/>
      <c r="H236" s="4" t="n"/>
      <c r="I236" s="4" t="n"/>
      <c r="J236" s="19" t="n"/>
      <c r="K236" s="19" t="n"/>
      <c r="L236" s="19" t="n"/>
      <c r="M236" s="2" t="inlineStr">
        <is>
          <t>Waiting</t>
        </is>
      </c>
      <c r="N236" s="2" t="n"/>
      <c r="O236" s="2" t="n"/>
      <c r="P236" s="2" t="n"/>
      <c r="Q236" s="28" t="n"/>
      <c r="R236" s="29" t="n"/>
      <c r="S236" s="5" t="inlineStr">
        <is>
          <t>KIPP12MBV40CP003</t>
        </is>
      </c>
      <c r="T236" s="5">
        <f>LEFT(B236,7)</f>
        <v/>
      </c>
    </row>
    <row r="237" ht="30" customFormat="1" customHeight="1" s="5">
      <c r="A237" s="17" t="n">
        <v>236</v>
      </c>
      <c r="B237" s="14" t="n"/>
      <c r="C237" s="14" t="n"/>
      <c r="D237" s="37" t="n"/>
      <c r="E237" s="3" t="n"/>
      <c r="F237" s="3" t="n"/>
      <c r="G237" s="4" t="n"/>
      <c r="H237" s="4" t="n"/>
      <c r="I237" s="4" t="n"/>
      <c r="J237" s="19" t="n"/>
      <c r="K237" s="19" t="n"/>
      <c r="L237" s="19" t="n"/>
      <c r="M237" s="2" t="inlineStr">
        <is>
          <t>Waiting</t>
        </is>
      </c>
      <c r="N237" s="2" t="n"/>
      <c r="O237" s="2" t="n"/>
      <c r="P237" s="2" t="n"/>
      <c r="Q237" s="28" t="n"/>
      <c r="R237" s="29" t="n"/>
      <c r="S237" s="5" t="inlineStr">
        <is>
          <t>KIPP12MBX21CP001</t>
        </is>
      </c>
      <c r="T237" s="5">
        <f>LEFT(B237,7)</f>
        <v/>
      </c>
    </row>
    <row r="238" ht="30" customFormat="1" customHeight="1" s="5">
      <c r="A238" s="17" t="n">
        <v>237</v>
      </c>
      <c r="B238" s="14" t="n"/>
      <c r="C238" s="14" t="n"/>
      <c r="D238" s="37" t="n"/>
      <c r="E238" s="3" t="n"/>
      <c r="F238" s="3" t="n"/>
      <c r="G238" s="4" t="n"/>
      <c r="H238" s="4" t="n"/>
      <c r="I238" s="4" t="n"/>
      <c r="J238" s="19" t="n"/>
      <c r="K238" s="19" t="n"/>
      <c r="L238" s="19" t="n"/>
      <c r="M238" s="2" t="inlineStr">
        <is>
          <t>Waiting</t>
        </is>
      </c>
      <c r="N238" s="2" t="n"/>
      <c r="O238" s="2" t="n"/>
      <c r="P238" s="2" t="n"/>
      <c r="Q238" s="28" t="n"/>
      <c r="R238" s="29" t="n"/>
      <c r="S238" s="5" t="inlineStr">
        <is>
          <t>KIPP12MBX21CP002</t>
        </is>
      </c>
      <c r="T238" s="5">
        <f>LEFT(B238,7)</f>
        <v/>
      </c>
    </row>
    <row r="239" ht="30" customFormat="1" customHeight="1" s="5">
      <c r="A239" s="17" t="n">
        <v>238</v>
      </c>
      <c r="B239" s="14" t="n"/>
      <c r="C239" s="14" t="n"/>
      <c r="D239" s="37" t="n"/>
      <c r="E239" s="4" t="n"/>
      <c r="F239" s="4" t="n"/>
      <c r="G239" s="4" t="n"/>
      <c r="H239" s="4" t="n"/>
      <c r="I239" s="4" t="n"/>
      <c r="J239" s="19" t="n"/>
      <c r="K239" s="19" t="n"/>
      <c r="L239" s="19" t="n"/>
      <c r="M239" s="2" t="inlineStr">
        <is>
          <t>Waiting</t>
        </is>
      </c>
      <c r="N239" s="2" t="n"/>
      <c r="O239" s="2" t="n"/>
      <c r="P239" s="2" t="n"/>
      <c r="Q239" s="28" t="n"/>
      <c r="R239" s="29" t="n"/>
      <c r="S239" s="5" t="inlineStr">
        <is>
          <t>KIPP12MBX42CP001</t>
        </is>
      </c>
      <c r="T239" s="5">
        <f>LEFT(B239,7)</f>
        <v/>
      </c>
    </row>
    <row r="240" ht="30" customFormat="1" customHeight="1" s="5">
      <c r="A240" s="17" t="n">
        <v>239</v>
      </c>
      <c r="B240" s="14" t="n"/>
      <c r="C240" s="14" t="n"/>
      <c r="D240" s="37" t="n"/>
      <c r="E240" s="4" t="n"/>
      <c r="F240" s="4" t="n"/>
      <c r="G240" s="4" t="n"/>
      <c r="H240" s="4" t="n"/>
      <c r="I240" s="4" t="n"/>
      <c r="J240" s="19" t="n"/>
      <c r="K240" s="19" t="n"/>
      <c r="L240" s="19" t="n"/>
      <c r="M240" s="2" t="inlineStr">
        <is>
          <t>Waiting</t>
        </is>
      </c>
      <c r="N240" s="2" t="n"/>
      <c r="O240" s="2" t="n"/>
      <c r="P240" s="2" t="n"/>
      <c r="Q240" s="28" t="n"/>
      <c r="R240" s="29" t="n"/>
      <c r="S240" s="5" t="inlineStr">
        <is>
          <t>KIPP12HAC22CF002</t>
        </is>
      </c>
      <c r="T240" s="5">
        <f>LEFT(B240,7)</f>
        <v/>
      </c>
    </row>
    <row r="241" ht="30" customFormat="1" customHeight="1" s="5">
      <c r="A241" s="17" t="n">
        <v>240</v>
      </c>
      <c r="B241" s="14" t="n"/>
      <c r="C241" s="14" t="n"/>
      <c r="D241" s="37" t="n"/>
      <c r="E241" s="4" t="n"/>
      <c r="F241" s="4" t="n"/>
      <c r="G241" s="4" t="n"/>
      <c r="H241" s="4" t="n"/>
      <c r="I241" s="4" t="n"/>
      <c r="J241" s="19" t="n"/>
      <c r="K241" s="19" t="n"/>
      <c r="L241" s="19" t="n"/>
      <c r="M241" s="2" t="inlineStr">
        <is>
          <t>Waiting</t>
        </is>
      </c>
      <c r="N241" s="2" t="n"/>
      <c r="O241" s="2" t="n"/>
      <c r="P241" s="2" t="n"/>
      <c r="Q241" s="28" t="n"/>
      <c r="R241" s="29" t="n"/>
      <c r="S241" s="5" t="inlineStr">
        <is>
          <t>KIPP12HAC22CF003</t>
        </is>
      </c>
      <c r="T241" s="5">
        <f>LEFT(B241,7)</f>
        <v/>
      </c>
    </row>
    <row r="242" ht="30" customFormat="1" customHeight="1" s="5">
      <c r="A242" s="17" t="n">
        <v>241</v>
      </c>
      <c r="B242" s="14" t="n"/>
      <c r="C242" s="14" t="n"/>
      <c r="D242" s="37" t="n"/>
      <c r="E242" s="4" t="n"/>
      <c r="F242" s="4" t="n"/>
      <c r="G242" s="4" t="n"/>
      <c r="H242" s="4" t="n"/>
      <c r="I242" s="4" t="n"/>
      <c r="J242" s="19" t="n"/>
      <c r="K242" s="19" t="n"/>
      <c r="L242" s="19" t="n"/>
      <c r="M242" s="2" t="inlineStr">
        <is>
          <t>Waiting</t>
        </is>
      </c>
      <c r="N242" s="2" t="n"/>
      <c r="O242" s="2" t="n"/>
      <c r="P242" s="2" t="n"/>
      <c r="Q242" s="28" t="n"/>
      <c r="R242" s="29" t="n"/>
      <c r="S242" s="5" t="inlineStr">
        <is>
          <t>KIPP12LAB20CF101</t>
        </is>
      </c>
      <c r="T242" s="5">
        <f>LEFT(B242,7)</f>
        <v/>
      </c>
    </row>
    <row r="243" ht="30" customFormat="1" customHeight="1" s="5">
      <c r="A243" s="17" t="n">
        <v>242</v>
      </c>
      <c r="B243" s="14" t="n"/>
      <c r="C243" s="14" t="n"/>
      <c r="D243" s="37" t="n"/>
      <c r="E243" s="4" t="n"/>
      <c r="F243" s="4" t="n"/>
      <c r="G243" s="4" t="n"/>
      <c r="H243" s="4" t="n"/>
      <c r="I243" s="4" t="n"/>
      <c r="J243" s="19" t="n"/>
      <c r="K243" s="19" t="n"/>
      <c r="L243" s="19" t="n"/>
      <c r="M243" s="2" t="inlineStr">
        <is>
          <t>Waiting</t>
        </is>
      </c>
      <c r="N243" s="2" t="n"/>
      <c r="O243" s="2" t="n"/>
      <c r="P243" s="2" t="n"/>
      <c r="Q243" s="28" t="n"/>
      <c r="R243" s="29" t="n"/>
      <c r="S243" s="5" t="inlineStr">
        <is>
          <t>KIPP12LAB31CF101</t>
        </is>
      </c>
      <c r="T243" s="5">
        <f>LEFT(B243,7)</f>
        <v/>
      </c>
    </row>
    <row r="244" ht="30" customFormat="1" customHeight="1" s="5">
      <c r="A244" s="17" t="n">
        <v>243</v>
      </c>
      <c r="B244" s="14" t="n"/>
      <c r="C244" s="14" t="n"/>
      <c r="D244" s="37" t="n"/>
      <c r="E244" s="4" t="n"/>
      <c r="F244" s="4" t="n"/>
      <c r="G244" s="4" t="n"/>
      <c r="H244" s="4" t="n"/>
      <c r="I244" s="4" t="n"/>
      <c r="J244" s="19" t="n"/>
      <c r="K244" s="19" t="n"/>
      <c r="L244" s="19" t="n"/>
      <c r="M244" s="2" t="inlineStr">
        <is>
          <t>Waiting</t>
        </is>
      </c>
      <c r="N244" s="2" t="n"/>
      <c r="O244" s="2" t="n"/>
      <c r="P244" s="2" t="n"/>
      <c r="Q244" s="28" t="n"/>
      <c r="R244" s="29" t="n"/>
      <c r="S244" s="5" t="inlineStr">
        <is>
          <t>KIPP12LAE50CF002</t>
        </is>
      </c>
      <c r="T244" s="5">
        <f>LEFT(B244,7)</f>
        <v/>
      </c>
    </row>
    <row r="245" ht="30" customFormat="1" customHeight="1" s="5">
      <c r="A245" s="17" t="n">
        <v>244</v>
      </c>
      <c r="B245" s="14" t="n"/>
      <c r="C245" s="14" t="n"/>
      <c r="D245" s="37" t="n"/>
      <c r="E245" s="4" t="n"/>
      <c r="F245" s="4" t="n"/>
      <c r="G245" s="4" t="n"/>
      <c r="H245" s="4" t="n"/>
      <c r="I245" s="4" t="n"/>
      <c r="J245" s="19" t="n"/>
      <c r="K245" s="19" t="n"/>
      <c r="L245" s="19" t="n"/>
      <c r="M245" s="2" t="inlineStr">
        <is>
          <t>Waiting</t>
        </is>
      </c>
      <c r="N245" s="2" t="n"/>
      <c r="O245" s="2" t="n"/>
      <c r="P245" s="2" t="n"/>
      <c r="Q245" s="28" t="n"/>
      <c r="R245" s="29" t="n"/>
      <c r="S245" s="5" t="inlineStr">
        <is>
          <t>KIPP12LAE50CF003</t>
        </is>
      </c>
      <c r="T245" s="5">
        <f>LEFT(B245,7)</f>
        <v/>
      </c>
    </row>
    <row r="246" ht="30" customFormat="1" customHeight="1" s="5">
      <c r="A246" s="17" t="n">
        <v>245</v>
      </c>
      <c r="B246" s="14" t="n"/>
      <c r="C246" s="14" t="n"/>
      <c r="D246" s="37" t="n"/>
      <c r="E246" s="4" t="n"/>
      <c r="F246" s="4" t="n"/>
      <c r="G246" s="4" t="n"/>
      <c r="H246" s="4" t="n"/>
      <c r="I246" s="4" t="n"/>
      <c r="J246" s="19" t="n"/>
      <c r="K246" s="19" t="n"/>
      <c r="L246" s="19" t="n"/>
      <c r="M246" s="2" t="inlineStr">
        <is>
          <t>Waiting</t>
        </is>
      </c>
      <c r="N246" s="2" t="n"/>
      <c r="O246" s="2" t="n"/>
      <c r="P246" s="2" t="n"/>
      <c r="Q246" s="28" t="n"/>
      <c r="R246" s="29" t="n"/>
      <c r="S246" s="5" t="inlineStr">
        <is>
          <t>KIPP12LAF40CF002</t>
        </is>
      </c>
      <c r="T246" s="5">
        <f>LEFT(B246,7)</f>
        <v/>
      </c>
    </row>
    <row r="247" ht="30" customFormat="1" customHeight="1" s="5">
      <c r="A247" s="17" t="n">
        <v>246</v>
      </c>
      <c r="B247" s="14" t="n"/>
      <c r="C247" s="14" t="n"/>
      <c r="D247" s="37" t="n"/>
      <c r="E247" s="4" t="n"/>
      <c r="F247" s="4" t="n"/>
      <c r="G247" s="4" t="n"/>
      <c r="H247" s="4" t="n"/>
      <c r="I247" s="4" t="n"/>
      <c r="J247" s="19" t="n"/>
      <c r="K247" s="19" t="n"/>
      <c r="L247" s="19" t="n"/>
      <c r="M247" s="2" t="inlineStr">
        <is>
          <t>Waiting</t>
        </is>
      </c>
      <c r="N247" s="2" t="n"/>
      <c r="O247" s="2" t="n"/>
      <c r="P247" s="2" t="n"/>
      <c r="Q247" s="28" t="n"/>
      <c r="R247" s="29" t="n"/>
      <c r="S247" s="5" t="inlineStr">
        <is>
          <t>KIPP12LAF40CF003</t>
        </is>
      </c>
      <c r="T247" s="5">
        <f>LEFT(B247,7)</f>
        <v/>
      </c>
    </row>
    <row r="248" ht="30" customFormat="1" customHeight="1" s="5">
      <c r="A248" s="17" t="n">
        <v>247</v>
      </c>
      <c r="B248" s="14" t="n"/>
      <c r="C248" s="14" t="n"/>
      <c r="D248" s="37" t="n"/>
      <c r="E248" s="4" t="n"/>
      <c r="F248" s="4" t="n"/>
      <c r="G248" s="4" t="n"/>
      <c r="H248" s="4" t="n"/>
      <c r="I248" s="4" t="n"/>
      <c r="J248" s="19" t="n"/>
      <c r="K248" s="19" t="n"/>
      <c r="L248" s="19" t="n"/>
      <c r="M248" s="2" t="inlineStr">
        <is>
          <t>Waiting</t>
        </is>
      </c>
      <c r="N248" s="2" t="n"/>
      <c r="O248" s="2" t="n"/>
      <c r="P248" s="2" t="n"/>
      <c r="Q248" s="28" t="n"/>
      <c r="R248" s="29" t="n"/>
      <c r="S248" s="5" t="inlineStr">
        <is>
          <t>KIPP12LBA10CF002</t>
        </is>
      </c>
      <c r="T248" s="5">
        <f>LEFT(B248,7)</f>
        <v/>
      </c>
    </row>
    <row r="249" ht="30" customFormat="1" customHeight="1" s="5">
      <c r="A249" s="17" t="n">
        <v>248</v>
      </c>
      <c r="B249" s="14" t="n"/>
      <c r="C249" s="14" t="n"/>
      <c r="D249" s="37" t="n"/>
      <c r="E249" s="4" t="n"/>
      <c r="F249" s="4" t="n"/>
      <c r="G249" s="4" t="n"/>
      <c r="H249" s="4" t="n"/>
      <c r="I249" s="4" t="n"/>
      <c r="J249" s="19" t="n"/>
      <c r="K249" s="19" t="n"/>
      <c r="L249" s="19" t="n"/>
      <c r="M249" s="2" t="inlineStr">
        <is>
          <t>Waiting</t>
        </is>
      </c>
      <c r="N249" s="2" t="n"/>
      <c r="O249" s="2" t="n"/>
      <c r="P249" s="2" t="n"/>
      <c r="Q249" s="28" t="n"/>
      <c r="R249" s="29" t="n"/>
      <c r="S249" s="5" t="inlineStr">
        <is>
          <t>KIPP12LBA10CF003</t>
        </is>
      </c>
      <c r="T249" s="5">
        <f>LEFT(B249,7)</f>
        <v/>
      </c>
    </row>
    <row r="250" ht="30" customFormat="1" customHeight="1" s="5">
      <c r="A250" s="17" t="n">
        <v>249</v>
      </c>
      <c r="B250" s="14" t="n"/>
      <c r="C250" s="14" t="n"/>
      <c r="D250" s="37" t="n"/>
      <c r="E250" s="4" t="n"/>
      <c r="F250" s="4" t="n"/>
      <c r="G250" s="4" t="n"/>
      <c r="H250" s="4" t="n"/>
      <c r="I250" s="4" t="n"/>
      <c r="J250" s="19" t="n"/>
      <c r="K250" s="19" t="n"/>
      <c r="L250" s="19" t="n"/>
      <c r="M250" s="2" t="inlineStr">
        <is>
          <t>Waiting</t>
        </is>
      </c>
      <c r="N250" s="2" t="n"/>
      <c r="O250" s="2" t="n"/>
      <c r="P250" s="2" t="n"/>
      <c r="Q250" s="28" t="n"/>
      <c r="R250" s="29" t="n"/>
      <c r="S250" s="5" t="inlineStr">
        <is>
          <t>KIPP12LBA30CF002</t>
        </is>
      </c>
      <c r="T250" s="5">
        <f>LEFT(B250,7)</f>
        <v/>
      </c>
    </row>
    <row r="251" ht="30" customFormat="1" customHeight="1" s="5">
      <c r="A251" s="17" t="n">
        <v>250</v>
      </c>
      <c r="B251" s="14" t="n"/>
      <c r="C251" s="14" t="n"/>
      <c r="D251" s="37" t="n"/>
      <c r="E251" s="4" t="n"/>
      <c r="F251" s="4" t="n"/>
      <c r="G251" s="4" t="n"/>
      <c r="H251" s="4" t="n"/>
      <c r="I251" s="4" t="n"/>
      <c r="J251" s="19" t="n"/>
      <c r="K251" s="19" t="n"/>
      <c r="L251" s="19" t="n"/>
      <c r="M251" s="2" t="inlineStr">
        <is>
          <t>Waiting</t>
        </is>
      </c>
      <c r="N251" s="2" t="n"/>
      <c r="O251" s="2" t="n"/>
      <c r="P251" s="2" t="n"/>
      <c r="Q251" s="28" t="n"/>
      <c r="R251" s="29" t="n"/>
      <c r="S251" s="5" t="inlineStr">
        <is>
          <t>KIPP11LAE50CF002</t>
        </is>
      </c>
      <c r="T251" s="5">
        <f>LEFT(B251,7)</f>
        <v/>
      </c>
    </row>
    <row r="252" ht="30" customFormat="1" customHeight="1" s="5">
      <c r="A252" s="17" t="n">
        <v>251</v>
      </c>
      <c r="B252" s="14" t="n"/>
      <c r="C252" s="14" t="n"/>
      <c r="D252" s="37" t="n"/>
      <c r="E252" s="4" t="n"/>
      <c r="F252" s="4" t="n"/>
      <c r="G252" s="4" t="n"/>
      <c r="H252" s="4" t="n"/>
      <c r="I252" s="4" t="n"/>
      <c r="J252" s="19" t="n"/>
      <c r="K252" s="19" t="n"/>
      <c r="L252" s="19" t="n"/>
      <c r="M252" s="2" t="inlineStr">
        <is>
          <t>Waiting</t>
        </is>
      </c>
      <c r="N252" s="2" t="n"/>
      <c r="O252" s="2" t="n"/>
      <c r="P252" s="2" t="n"/>
      <c r="Q252" s="28" t="n"/>
      <c r="R252" s="29" t="n"/>
      <c r="S252" s="5" t="inlineStr">
        <is>
          <t>KIPP11LAE50CF003</t>
        </is>
      </c>
      <c r="T252" s="5">
        <f>LEFT(B252,7)</f>
        <v/>
      </c>
    </row>
    <row r="253" ht="30" customFormat="1" customHeight="1" s="5">
      <c r="A253" s="17" t="n">
        <v>252</v>
      </c>
      <c r="B253" s="14" t="n"/>
      <c r="C253" s="14" t="n"/>
      <c r="D253" s="37" t="n"/>
      <c r="E253" s="4" t="n"/>
      <c r="F253" s="4" t="n"/>
      <c r="G253" s="4" t="n"/>
      <c r="H253" s="4" t="n"/>
      <c r="I253" s="4" t="n"/>
      <c r="J253" s="19" t="n"/>
      <c r="K253" s="19" t="n"/>
      <c r="L253" s="19" t="n"/>
      <c r="M253" s="2" t="inlineStr">
        <is>
          <t>Waiting</t>
        </is>
      </c>
      <c r="N253" s="2" t="n"/>
      <c r="O253" s="2" t="n"/>
      <c r="P253" s="2" t="n"/>
      <c r="Q253" s="28" t="n"/>
      <c r="R253" s="29" t="n"/>
      <c r="S253" s="5" t="inlineStr">
        <is>
          <t>KIPP12LBA30CF003</t>
        </is>
      </c>
      <c r="T253" s="5">
        <f>LEFT(B253,7)</f>
        <v/>
      </c>
    </row>
    <row r="254" ht="30" customFormat="1" customHeight="1" s="5">
      <c r="A254" s="17" t="n">
        <v>253</v>
      </c>
      <c r="B254" s="14" t="n"/>
      <c r="C254" s="14" t="n"/>
      <c r="D254" s="37" t="n"/>
      <c r="E254" s="4" t="n"/>
      <c r="F254" s="4" t="n"/>
      <c r="G254" s="4" t="n"/>
      <c r="H254" s="4" t="n"/>
      <c r="I254" s="4" t="n"/>
      <c r="J254" s="19" t="n"/>
      <c r="K254" s="19" t="n"/>
      <c r="L254" s="19" t="n"/>
      <c r="M254" s="2" t="inlineStr">
        <is>
          <t>Waiting</t>
        </is>
      </c>
      <c r="N254" s="2" t="n"/>
      <c r="O254" s="2" t="n"/>
      <c r="P254" s="2" t="n"/>
      <c r="Q254" s="28" t="n"/>
      <c r="R254" s="29" t="n"/>
      <c r="S254" s="5" t="inlineStr">
        <is>
          <t>KIPP12LBA50CF002</t>
        </is>
      </c>
      <c r="T254" s="5">
        <f>LEFT(B254,7)</f>
        <v/>
      </c>
    </row>
    <row r="255" ht="30" customFormat="1" customHeight="1" s="5">
      <c r="A255" s="17" t="n">
        <v>254</v>
      </c>
      <c r="B255" s="14" t="n"/>
      <c r="C255" s="14" t="n"/>
      <c r="D255" s="37" t="n"/>
      <c r="E255" s="4" t="n"/>
      <c r="F255" s="4" t="n"/>
      <c r="G255" s="4" t="n"/>
      <c r="H255" s="4" t="n"/>
      <c r="I255" s="4" t="n"/>
      <c r="J255" s="19" t="n"/>
      <c r="K255" s="19" t="n"/>
      <c r="L255" s="19" t="n"/>
      <c r="M255" s="2" t="inlineStr">
        <is>
          <t>Waiting</t>
        </is>
      </c>
      <c r="N255" s="2" t="n"/>
      <c r="O255" s="2" t="n"/>
      <c r="P255" s="2" t="n"/>
      <c r="Q255" s="28" t="n"/>
      <c r="R255" s="29" t="n"/>
      <c r="S255" s="5" t="inlineStr">
        <is>
          <t>KIPP11LAF40CF002</t>
        </is>
      </c>
      <c r="T255" s="5">
        <f>LEFT(B255,7)</f>
        <v/>
      </c>
    </row>
    <row r="256" ht="30" customFormat="1" customHeight="1" s="5">
      <c r="A256" s="17" t="n">
        <v>255</v>
      </c>
      <c r="B256" s="14" t="n"/>
      <c r="C256" s="14" t="n"/>
      <c r="D256" s="37" t="n"/>
      <c r="E256" s="4" t="n"/>
      <c r="F256" s="4" t="n"/>
      <c r="G256" s="4" t="n"/>
      <c r="H256" s="4" t="n"/>
      <c r="I256" s="4" t="n"/>
      <c r="J256" s="19" t="n"/>
      <c r="K256" s="19" t="n"/>
      <c r="L256" s="19" t="n"/>
      <c r="M256" s="2" t="inlineStr">
        <is>
          <t>Waiting</t>
        </is>
      </c>
      <c r="N256" s="2" t="n"/>
      <c r="O256" s="2" t="n"/>
      <c r="P256" s="2" t="n"/>
      <c r="Q256" s="28" t="n"/>
      <c r="R256" s="29" t="n"/>
      <c r="S256" s="5" t="inlineStr">
        <is>
          <t>KIPP11LAF40CF003</t>
        </is>
      </c>
      <c r="T256" s="5">
        <f>LEFT(B256,7)</f>
        <v/>
      </c>
    </row>
    <row r="257" ht="30" customFormat="1" customHeight="1" s="5">
      <c r="A257" s="17" t="n">
        <v>256</v>
      </c>
      <c r="B257" s="14" t="n"/>
      <c r="C257" s="14" t="n"/>
      <c r="D257" s="37" t="n"/>
      <c r="E257" s="4" t="n"/>
      <c r="F257" s="4" t="n"/>
      <c r="G257" s="4" t="n"/>
      <c r="H257" s="4" t="n"/>
      <c r="I257" s="4" t="n"/>
      <c r="J257" s="19" t="n"/>
      <c r="K257" s="19" t="n"/>
      <c r="L257" s="19" t="n"/>
      <c r="M257" s="2" t="inlineStr">
        <is>
          <t>Waiting</t>
        </is>
      </c>
      <c r="N257" s="2" t="n"/>
      <c r="O257" s="2" t="n"/>
      <c r="P257" s="2" t="n"/>
      <c r="Q257" s="28" t="n"/>
      <c r="R257" s="29" t="n"/>
      <c r="S257" s="5" t="inlineStr">
        <is>
          <t>KIPP11LBA10CF002</t>
        </is>
      </c>
      <c r="T257" s="5">
        <f>LEFT(B257,7)</f>
        <v/>
      </c>
    </row>
    <row r="258" ht="30" customFormat="1" customHeight="1" s="5">
      <c r="A258" s="17" t="n">
        <v>257</v>
      </c>
      <c r="B258" s="14" t="n"/>
      <c r="C258" s="14" t="n"/>
      <c r="D258" s="37" t="n"/>
      <c r="E258" s="4" t="n"/>
      <c r="F258" s="4" t="n"/>
      <c r="G258" s="4" t="n"/>
      <c r="H258" s="4" t="n"/>
      <c r="I258" s="4" t="n"/>
      <c r="J258" s="19" t="n"/>
      <c r="K258" s="19" t="n"/>
      <c r="L258" s="19" t="n"/>
      <c r="M258" s="2" t="inlineStr">
        <is>
          <t>Waiting</t>
        </is>
      </c>
      <c r="N258" s="2" t="n"/>
      <c r="O258" s="2" t="n"/>
      <c r="P258" s="2" t="n"/>
      <c r="Q258" s="28" t="n"/>
      <c r="R258" s="29" t="n"/>
      <c r="S258" s="5" t="inlineStr">
        <is>
          <t>KIPP11LBA10CF003</t>
        </is>
      </c>
      <c r="T258" s="5">
        <f>LEFT(B258,7)</f>
        <v/>
      </c>
    </row>
    <row r="259" ht="30" customFormat="1" customHeight="1" s="5">
      <c r="A259" s="17" t="n">
        <v>258</v>
      </c>
      <c r="B259" s="14" t="n"/>
      <c r="C259" s="14" t="n"/>
      <c r="D259" s="37" t="n"/>
      <c r="E259" s="4" t="n"/>
      <c r="F259" s="4" t="n"/>
      <c r="G259" s="4" t="n"/>
      <c r="H259" s="4" t="n"/>
      <c r="I259" s="4" t="n"/>
      <c r="J259" s="19" t="n"/>
      <c r="K259" s="19" t="n"/>
      <c r="L259" s="19" t="n"/>
      <c r="M259" s="2" t="inlineStr">
        <is>
          <t>Waiting</t>
        </is>
      </c>
      <c r="N259" s="2" t="n"/>
      <c r="O259" s="2" t="n"/>
      <c r="P259" s="2" t="n"/>
      <c r="Q259" s="28" t="n"/>
      <c r="R259" s="29" t="n"/>
      <c r="S259" s="5" t="inlineStr">
        <is>
          <t>KIPP11LBA30CF002</t>
        </is>
      </c>
      <c r="T259" s="5">
        <f>LEFT(B259,7)</f>
        <v/>
      </c>
    </row>
    <row r="260" ht="30" customFormat="1" customHeight="1" s="5">
      <c r="A260" s="17" t="n">
        <v>259</v>
      </c>
      <c r="B260" s="14" t="n"/>
      <c r="C260" s="14" t="n"/>
      <c r="D260" s="37" t="n"/>
      <c r="E260" s="4" t="n"/>
      <c r="F260" s="4" t="n"/>
      <c r="G260" s="4" t="n"/>
      <c r="H260" s="4" t="n"/>
      <c r="I260" s="4" t="n"/>
      <c r="J260" s="19" t="n"/>
      <c r="K260" s="19" t="n"/>
      <c r="L260" s="19" t="n"/>
      <c r="M260" s="2" t="inlineStr">
        <is>
          <t>Waiting</t>
        </is>
      </c>
      <c r="N260" s="2" t="n"/>
      <c r="O260" s="2" t="n"/>
      <c r="P260" s="2" t="n"/>
      <c r="Q260" s="28" t="n"/>
      <c r="R260" s="29" t="n"/>
      <c r="S260" s="5" t="inlineStr">
        <is>
          <t>KIPP11LBA30CF003</t>
        </is>
      </c>
      <c r="T260" s="5">
        <f>LEFT(B260,7)</f>
        <v/>
      </c>
    </row>
    <row r="261" ht="30" customFormat="1" customHeight="1" s="5">
      <c r="A261" s="17" t="n">
        <v>260</v>
      </c>
      <c r="B261" s="14" t="n"/>
      <c r="C261" s="14" t="n"/>
      <c r="D261" s="37" t="n"/>
      <c r="E261" s="4" t="n"/>
      <c r="F261" s="4" t="n"/>
      <c r="G261" s="4" t="n"/>
      <c r="H261" s="4" t="n"/>
      <c r="I261" s="4" t="n"/>
      <c r="J261" s="19" t="n"/>
      <c r="K261" s="19" t="n"/>
      <c r="L261" s="19" t="n"/>
      <c r="M261" s="2" t="inlineStr">
        <is>
          <t>Waiting</t>
        </is>
      </c>
      <c r="N261" s="2" t="n"/>
      <c r="O261" s="2" t="n"/>
      <c r="P261" s="2" t="n"/>
      <c r="Q261" s="28" t="n"/>
      <c r="R261" s="29" t="n"/>
      <c r="S261" s="5" t="inlineStr">
        <is>
          <t>KIPP11LBA50CF002</t>
        </is>
      </c>
      <c r="T261" s="5">
        <f>LEFT(B261,7)</f>
        <v/>
      </c>
    </row>
    <row r="262" ht="30" customFormat="1" customHeight="1" s="5">
      <c r="A262" s="17" t="n">
        <v>261</v>
      </c>
      <c r="B262" s="14" t="n"/>
      <c r="C262" s="14" t="n"/>
      <c r="D262" s="37" t="n"/>
      <c r="E262" s="4" t="n"/>
      <c r="F262" s="4" t="n"/>
      <c r="G262" s="4" t="n"/>
      <c r="H262" s="4" t="n"/>
      <c r="I262" s="4" t="n"/>
      <c r="J262" s="19" t="n"/>
      <c r="K262" s="19" t="n"/>
      <c r="L262" s="19" t="n"/>
      <c r="M262" s="2" t="inlineStr">
        <is>
          <t>Waiting</t>
        </is>
      </c>
      <c r="N262" s="2" t="n"/>
      <c r="O262" s="2" t="n"/>
      <c r="P262" s="2" t="n"/>
      <c r="Q262" s="28" t="n"/>
      <c r="R262" s="29" t="n"/>
      <c r="S262" s="5" t="inlineStr">
        <is>
          <t>KIPP12LBA50CF003</t>
        </is>
      </c>
      <c r="T262" s="5">
        <f>LEFT(B262,7)</f>
        <v/>
      </c>
    </row>
    <row r="263" ht="30" customFormat="1" customHeight="1" s="5">
      <c r="A263" s="17" t="n">
        <v>262</v>
      </c>
      <c r="B263" s="14" t="n"/>
      <c r="C263" s="14" t="n"/>
      <c r="D263" s="37" t="n"/>
      <c r="E263" s="4" t="n"/>
      <c r="F263" s="4" t="n"/>
      <c r="G263" s="4" t="n"/>
      <c r="H263" s="4" t="n"/>
      <c r="I263" s="4" t="n"/>
      <c r="J263" s="19" t="n"/>
      <c r="K263" s="19" t="n"/>
      <c r="L263" s="19" t="n"/>
      <c r="M263" s="2" t="inlineStr">
        <is>
          <t>Waiting</t>
        </is>
      </c>
      <c r="N263" s="2" t="n"/>
      <c r="O263" s="2" t="n"/>
      <c r="P263" s="2" t="n"/>
      <c r="Q263" s="28" t="n"/>
      <c r="R263" s="29" t="n"/>
      <c r="S263" s="5" t="inlineStr">
        <is>
          <t>KIPP12LBC00CF101</t>
        </is>
      </c>
      <c r="T263" s="5">
        <f>LEFT(B263,7)</f>
        <v/>
      </c>
    </row>
    <row r="264" ht="30" customFormat="1" customHeight="1" s="5">
      <c r="A264" s="17" t="n">
        <v>263</v>
      </c>
      <c r="B264" s="14" t="n"/>
      <c r="C264" s="14" t="n"/>
      <c r="D264" s="37" t="n"/>
      <c r="E264" s="4" t="n"/>
      <c r="F264" s="4" t="n"/>
      <c r="G264" s="4" t="n"/>
      <c r="H264" s="4" t="n"/>
      <c r="I264" s="4" t="n"/>
      <c r="J264" s="19" t="n"/>
      <c r="K264" s="19" t="n"/>
      <c r="L264" s="19" t="n"/>
      <c r="M264" s="2" t="inlineStr">
        <is>
          <t>Waiting</t>
        </is>
      </c>
      <c r="N264" s="2" t="n"/>
      <c r="O264" s="2" t="n"/>
      <c r="P264" s="2" t="n"/>
      <c r="Q264" s="28" t="n"/>
      <c r="R264" s="29" t="n"/>
      <c r="S264" s="5" t="inlineStr">
        <is>
          <t>KIPP12LBC00CF102</t>
        </is>
      </c>
      <c r="T264" s="5">
        <f>LEFT(B264,7)</f>
        <v/>
      </c>
    </row>
    <row r="265" ht="30" customFormat="1" customHeight="1" s="5">
      <c r="A265" s="17" t="n">
        <v>264</v>
      </c>
      <c r="B265" s="14" t="n"/>
      <c r="C265" s="14" t="n"/>
      <c r="D265" s="37" t="n"/>
      <c r="E265" s="4" t="n"/>
      <c r="F265" s="4" t="n"/>
      <c r="G265" s="4" t="n"/>
      <c r="H265" s="4" t="n"/>
      <c r="I265" s="4" t="n"/>
      <c r="J265" s="19" t="n"/>
      <c r="K265" s="19" t="n"/>
      <c r="L265" s="19" t="n"/>
      <c r="M265" s="2" t="inlineStr">
        <is>
          <t>Waiting</t>
        </is>
      </c>
      <c r="N265" s="2" t="n"/>
      <c r="O265" s="2" t="n"/>
      <c r="P265" s="2" t="n"/>
      <c r="Q265" s="28" t="n"/>
      <c r="R265" s="29" t="n"/>
      <c r="S265" s="5" t="inlineStr">
        <is>
          <t>KIPP11LBA50CF003</t>
        </is>
      </c>
      <c r="T265" s="5">
        <f>LEFT(B265,7)</f>
        <v/>
      </c>
    </row>
    <row r="266" ht="30" customFormat="1" customHeight="1" s="5">
      <c r="A266" s="17" t="n">
        <v>265</v>
      </c>
      <c r="B266" s="14" t="n"/>
      <c r="C266" s="14" t="n"/>
      <c r="D266" s="37" t="n"/>
      <c r="E266" s="4" t="n"/>
      <c r="F266" s="4" t="n"/>
      <c r="G266" s="4" t="n"/>
      <c r="H266" s="4" t="n"/>
      <c r="I266" s="4" t="n"/>
      <c r="J266" s="19" t="n"/>
      <c r="K266" s="19" t="n"/>
      <c r="L266" s="19" t="n"/>
      <c r="M266" s="2" t="inlineStr">
        <is>
          <t>Waiting</t>
        </is>
      </c>
      <c r="N266" s="2" t="n"/>
      <c r="O266" s="2" t="n"/>
      <c r="P266" s="2" t="n"/>
      <c r="Q266" s="28" t="n"/>
      <c r="R266" s="29" t="n"/>
      <c r="S266" s="5" t="inlineStr">
        <is>
          <t>KIPP12LCA20CF101</t>
        </is>
      </c>
      <c r="T266" s="5">
        <f>LEFT(B266,7)</f>
        <v/>
      </c>
    </row>
    <row r="267" ht="30" customFormat="1" customHeight="1" s="5">
      <c r="A267" s="17" t="n">
        <v>266</v>
      </c>
      <c r="B267" s="14" t="n"/>
      <c r="C267" s="14" t="n"/>
      <c r="D267" s="37" t="n"/>
      <c r="E267" s="4" t="n"/>
      <c r="F267" s="4" t="n"/>
      <c r="G267" s="4" t="n"/>
      <c r="H267" s="4" t="n"/>
      <c r="I267" s="4" t="n"/>
      <c r="J267" s="19" t="n"/>
      <c r="K267" s="19" t="n"/>
      <c r="L267" s="19" t="n"/>
      <c r="M267" s="2" t="inlineStr">
        <is>
          <t>Waiting</t>
        </is>
      </c>
      <c r="N267" s="2" t="n"/>
      <c r="O267" s="2" t="n"/>
      <c r="P267" s="2" t="n"/>
      <c r="Q267" s="28" t="n"/>
      <c r="R267" s="29" t="n"/>
      <c r="S267" s="5" t="inlineStr">
        <is>
          <t>KIPP12LCA21CF101</t>
        </is>
      </c>
      <c r="T267" s="5">
        <f>LEFT(B267,7)</f>
        <v/>
      </c>
    </row>
    <row r="268" ht="30" customFormat="1" customHeight="1" s="5">
      <c r="A268" s="17" t="n">
        <v>267</v>
      </c>
      <c r="B268" s="14" t="n"/>
      <c r="C268" s="14" t="n"/>
      <c r="D268" s="37" t="n"/>
      <c r="E268" s="4" t="n"/>
      <c r="F268" s="4" t="n"/>
      <c r="G268" s="4" t="n"/>
      <c r="H268" s="4" t="n"/>
      <c r="I268" s="4" t="n"/>
      <c r="J268" s="19" t="n"/>
      <c r="K268" s="19" t="n"/>
      <c r="L268" s="19" t="n"/>
      <c r="M268" s="2" t="inlineStr">
        <is>
          <t>Waiting</t>
        </is>
      </c>
      <c r="N268" s="2" t="n"/>
      <c r="O268" s="2" t="n"/>
      <c r="P268" s="2" t="n"/>
      <c r="Q268" s="28" t="n"/>
      <c r="R268" s="29" t="n"/>
      <c r="S268" s="5" t="inlineStr">
        <is>
          <t>KIPP11LBC00CF101</t>
        </is>
      </c>
      <c r="T268" s="5">
        <f>LEFT(B268,7)</f>
        <v/>
      </c>
    </row>
    <row r="269" ht="30" customFormat="1" customHeight="1" s="5">
      <c r="A269" s="17" t="n">
        <v>268</v>
      </c>
      <c r="B269" s="14" t="n"/>
      <c r="C269" s="14" t="n"/>
      <c r="D269" s="37" t="n"/>
      <c r="E269" s="4" t="n"/>
      <c r="F269" s="4" t="n"/>
      <c r="G269" s="4" t="n"/>
      <c r="H269" s="4" t="n"/>
      <c r="I269" s="4" t="n"/>
      <c r="J269" s="19" t="n"/>
      <c r="K269" s="19" t="n"/>
      <c r="L269" s="19" t="n"/>
      <c r="M269" s="2" t="inlineStr">
        <is>
          <t>Waiting</t>
        </is>
      </c>
      <c r="N269" s="2" t="n"/>
      <c r="O269" s="2" t="n"/>
      <c r="P269" s="2" t="n"/>
      <c r="Q269" s="28" t="n"/>
      <c r="R269" s="29" t="n"/>
      <c r="S269" s="5" t="inlineStr">
        <is>
          <t>KIPP11LBC00CF102</t>
        </is>
      </c>
      <c r="T269" s="5">
        <f>LEFT(B269,7)</f>
        <v/>
      </c>
    </row>
    <row r="270" ht="30" customFormat="1" customHeight="1" s="5">
      <c r="A270" s="17" t="n">
        <v>269</v>
      </c>
      <c r="B270" s="14" t="n"/>
      <c r="C270" s="14" t="n"/>
      <c r="D270" s="37" t="n"/>
      <c r="E270" s="4" t="n"/>
      <c r="F270" s="4" t="n"/>
      <c r="G270" s="4" t="n"/>
      <c r="H270" s="4" t="n"/>
      <c r="I270" s="4" t="n"/>
      <c r="J270" s="19" t="n"/>
      <c r="K270" s="19" t="n"/>
      <c r="L270" s="19" t="n"/>
      <c r="M270" s="2" t="inlineStr">
        <is>
          <t>Waiting</t>
        </is>
      </c>
      <c r="N270" s="2" t="n"/>
      <c r="O270" s="2" t="n"/>
      <c r="P270" s="2" t="n"/>
      <c r="Q270" s="28" t="n"/>
      <c r="R270" s="29" t="n"/>
      <c r="S270" s="5" t="inlineStr">
        <is>
          <t>KIPP11LCA20CF101</t>
        </is>
      </c>
      <c r="T270" s="5">
        <f>LEFT(B270,7)</f>
        <v/>
      </c>
    </row>
    <row r="271" ht="30" customFormat="1" customHeight="1" s="5">
      <c r="A271" s="17" t="n">
        <v>270</v>
      </c>
      <c r="B271" s="14" t="n"/>
      <c r="C271" s="14" t="n"/>
      <c r="D271" s="37" t="n"/>
      <c r="E271" s="4" t="n"/>
      <c r="F271" s="4" t="n"/>
      <c r="G271" s="4" t="n"/>
      <c r="H271" s="4" t="n"/>
      <c r="I271" s="4" t="n"/>
      <c r="J271" s="19" t="n"/>
      <c r="K271" s="19" t="n"/>
      <c r="L271" s="19" t="n"/>
      <c r="M271" s="2" t="inlineStr">
        <is>
          <t>Waiting</t>
        </is>
      </c>
      <c r="N271" s="2" t="n"/>
      <c r="O271" s="2" t="n"/>
      <c r="P271" s="2" t="n"/>
      <c r="Q271" s="28" t="n"/>
      <c r="R271" s="29" t="n"/>
      <c r="S271" s="5" t="inlineStr">
        <is>
          <t>KIPP11LCA21CF101</t>
        </is>
      </c>
      <c r="T271" s="5">
        <f>LEFT(B271,7)</f>
        <v/>
      </c>
    </row>
    <row r="272" ht="30" customFormat="1" customHeight="1" s="5">
      <c r="A272" s="17" t="n">
        <v>271</v>
      </c>
      <c r="B272" s="14" t="n"/>
      <c r="C272" s="14" t="n"/>
      <c r="D272" s="37" t="n"/>
      <c r="E272" s="4" t="n"/>
      <c r="F272" s="4" t="n"/>
      <c r="G272" s="3" t="n"/>
      <c r="H272" s="3" t="n"/>
      <c r="I272" s="4" t="n"/>
      <c r="J272" s="19" t="n"/>
      <c r="K272" s="19" t="n"/>
      <c r="L272" s="19" t="n"/>
      <c r="M272" s="2" t="inlineStr">
        <is>
          <t>Waiting</t>
        </is>
      </c>
      <c r="N272" s="2" t="n"/>
      <c r="O272" s="2" t="n"/>
      <c r="P272" s="2" t="n"/>
      <c r="Q272" s="28" t="n"/>
      <c r="R272" s="29" t="n"/>
      <c r="S272" s="5" t="inlineStr">
        <is>
          <t>KIPP10LAA00CL101</t>
        </is>
      </c>
      <c r="T272" s="5">
        <f>LEFT(B272,7)</f>
        <v/>
      </c>
    </row>
    <row r="273" ht="30" customFormat="1" customHeight="1" s="5">
      <c r="A273" s="17" t="n">
        <v>272</v>
      </c>
      <c r="B273" s="14" t="n"/>
      <c r="C273" s="14" t="n"/>
      <c r="D273" s="37" t="n"/>
      <c r="E273" s="4" t="n"/>
      <c r="F273" s="4" t="n"/>
      <c r="G273" s="3" t="n"/>
      <c r="H273" s="3" t="n"/>
      <c r="I273" s="4" t="n"/>
      <c r="J273" s="19" t="n"/>
      <c r="K273" s="19" t="n"/>
      <c r="L273" s="19" t="n"/>
      <c r="M273" s="2" t="inlineStr">
        <is>
          <t>Waiting</t>
        </is>
      </c>
      <c r="N273" s="2" t="n"/>
      <c r="O273" s="2" t="n"/>
      <c r="P273" s="2" t="n"/>
      <c r="Q273" s="28" t="n"/>
      <c r="R273" s="29" t="n"/>
      <c r="S273" s="5" t="inlineStr">
        <is>
          <t>KIPP10LAA00CL102</t>
        </is>
      </c>
      <c r="T273" s="5">
        <f>LEFT(B273,7)</f>
        <v/>
      </c>
    </row>
    <row r="274" ht="30" customFormat="1" customHeight="1" s="5">
      <c r="A274" s="17" t="n">
        <v>273</v>
      </c>
      <c r="B274" s="14" t="n"/>
      <c r="C274" s="14" t="n"/>
      <c r="D274" s="37" t="n"/>
      <c r="E274" s="4" t="n"/>
      <c r="F274" s="4" t="n"/>
      <c r="G274" s="3" t="n"/>
      <c r="H274" s="3" t="n"/>
      <c r="I274" s="4" t="n"/>
      <c r="J274" s="19" t="n"/>
      <c r="K274" s="19" t="n"/>
      <c r="L274" s="19" t="n"/>
      <c r="M274" s="2" t="inlineStr">
        <is>
          <t>Waiting</t>
        </is>
      </c>
      <c r="N274" s="2" t="n"/>
      <c r="O274" s="2" t="n"/>
      <c r="P274" s="2" t="n"/>
      <c r="Q274" s="28" t="n"/>
      <c r="R274" s="29" t="n"/>
      <c r="S274" s="5" t="inlineStr">
        <is>
          <t>KIPP10LAA00CL103</t>
        </is>
      </c>
      <c r="T274" s="5">
        <f>LEFT(B274,7)</f>
        <v/>
      </c>
    </row>
    <row r="275" ht="30" customFormat="1" customHeight="1" s="5">
      <c r="A275" s="17" t="n">
        <v>274</v>
      </c>
      <c r="B275" s="14" t="n"/>
      <c r="C275" s="14" t="n"/>
      <c r="D275" s="37" t="n"/>
      <c r="E275" s="4" t="n"/>
      <c r="F275" s="4" t="n"/>
      <c r="G275" s="3" t="n"/>
      <c r="H275" s="3" t="n"/>
      <c r="I275" s="4" t="n"/>
      <c r="J275" s="19" t="n"/>
      <c r="K275" s="19" t="n"/>
      <c r="L275" s="19" t="n"/>
      <c r="M275" s="2" t="inlineStr">
        <is>
          <t>Waiting</t>
        </is>
      </c>
      <c r="N275" s="2" t="n"/>
      <c r="O275" s="2" t="n"/>
      <c r="P275" s="2" t="n"/>
      <c r="Q275" s="28" t="n"/>
      <c r="R275" s="29" t="n"/>
      <c r="S275" s="5" t="inlineStr">
        <is>
          <t>KIPP10LAA00CL104</t>
        </is>
      </c>
      <c r="T275" s="5">
        <f>LEFT(B275,7)</f>
        <v/>
      </c>
    </row>
    <row r="276" ht="30" customFormat="1" customHeight="1" s="5">
      <c r="A276" s="17" t="n">
        <v>275</v>
      </c>
      <c r="B276" s="14" t="n"/>
      <c r="C276" s="14" t="n"/>
      <c r="D276" s="37" t="n"/>
      <c r="E276" s="4" t="n"/>
      <c r="F276" s="4" t="n"/>
      <c r="G276" s="3" t="n"/>
      <c r="H276" s="3" t="n"/>
      <c r="I276" s="4" t="n"/>
      <c r="J276" s="19" t="n"/>
      <c r="K276" s="19" t="n"/>
      <c r="L276" s="19" t="n"/>
      <c r="M276" s="2" t="inlineStr">
        <is>
          <t>Waiting</t>
        </is>
      </c>
      <c r="N276" s="2" t="n"/>
      <c r="O276" s="2" t="n"/>
      <c r="P276" s="2" t="n"/>
      <c r="Q276" s="28" t="n"/>
      <c r="R276" s="29" t="n"/>
      <c r="S276" s="5" t="inlineStr">
        <is>
          <t>KIPP10LAA00CL105</t>
        </is>
      </c>
      <c r="T276" s="5">
        <f>LEFT(B276,7)</f>
        <v/>
      </c>
    </row>
    <row r="277" ht="30" customFormat="1" customHeight="1" s="5">
      <c r="A277" s="17" t="n">
        <v>276</v>
      </c>
      <c r="B277" s="14" t="n"/>
      <c r="C277" s="14" t="n"/>
      <c r="D277" s="37" t="n"/>
      <c r="E277" s="4" t="n"/>
      <c r="F277" s="4" t="n"/>
      <c r="G277" s="4" t="n"/>
      <c r="H277" s="3" t="n"/>
      <c r="I277" s="4" t="n"/>
      <c r="J277" s="33" t="n"/>
      <c r="K277" s="33" t="n"/>
      <c r="L277" s="20" t="n"/>
      <c r="M277" s="2" t="inlineStr">
        <is>
          <t>Waiting</t>
        </is>
      </c>
      <c r="N277" s="2" t="n"/>
      <c r="O277" s="2" t="n"/>
      <c r="P277" s="2" t="n"/>
      <c r="Q277" s="28" t="n"/>
      <c r="R277" s="29" t="n"/>
      <c r="S277" s="5" t="inlineStr">
        <is>
          <t>KIPP11HAD50CL001</t>
        </is>
      </c>
      <c r="T277" s="5">
        <f>LEFT(B277,7)</f>
        <v/>
      </c>
    </row>
    <row r="278" ht="30" customFormat="1" customHeight="1" s="5">
      <c r="A278" s="17" t="n">
        <v>277</v>
      </c>
      <c r="B278" s="14" t="n"/>
      <c r="C278" s="14" t="n"/>
      <c r="D278" s="37" t="n"/>
      <c r="E278" s="4" t="n"/>
      <c r="F278" s="4" t="n"/>
      <c r="G278" s="4" t="n"/>
      <c r="H278" s="3" t="n"/>
      <c r="I278" s="4" t="n"/>
      <c r="J278" s="19" t="n"/>
      <c r="K278" s="19" t="n"/>
      <c r="L278" s="19" t="n"/>
      <c r="M278" s="2" t="inlineStr">
        <is>
          <t>Waiting</t>
        </is>
      </c>
      <c r="N278" s="2" t="n"/>
      <c r="O278" s="2" t="n"/>
      <c r="P278" s="2" t="n"/>
      <c r="Q278" s="28" t="n"/>
      <c r="R278" s="29" t="n"/>
      <c r="S278" s="5" t="inlineStr">
        <is>
          <t>KIPP11HAD50CL002</t>
        </is>
      </c>
      <c r="T278" s="5">
        <f>LEFT(B278,7)</f>
        <v/>
      </c>
    </row>
    <row r="279" ht="30" customFormat="1" customHeight="1" s="5">
      <c r="A279" s="17" t="n">
        <v>278</v>
      </c>
      <c r="B279" s="14" t="n"/>
      <c r="C279" s="14" t="n"/>
      <c r="D279" s="37" t="n"/>
      <c r="E279" s="4" t="n"/>
      <c r="F279" s="4" t="n"/>
      <c r="G279" s="4" t="n"/>
      <c r="H279" s="3" t="n"/>
      <c r="I279" s="4" t="n"/>
      <c r="J279" s="19" t="n"/>
      <c r="K279" s="19" t="n"/>
      <c r="L279" s="19" t="n"/>
      <c r="M279" s="2" t="inlineStr">
        <is>
          <t>Waiting</t>
        </is>
      </c>
      <c r="N279" s="2" t="n"/>
      <c r="O279" s="2" t="n"/>
      <c r="P279" s="2" t="n"/>
      <c r="Q279" s="28" t="n"/>
      <c r="R279" s="29" t="n"/>
      <c r="S279" s="5" t="inlineStr">
        <is>
          <t>KIPP11HAD50CL003</t>
        </is>
      </c>
      <c r="T279" s="5">
        <f>LEFT(B279,7)</f>
        <v/>
      </c>
    </row>
    <row r="280" ht="30" customFormat="1" customHeight="1" s="5">
      <c r="A280" s="17" t="n">
        <v>279</v>
      </c>
      <c r="B280" s="14" t="n"/>
      <c r="C280" s="14" t="n"/>
      <c r="D280" s="37" t="n"/>
      <c r="E280" s="4" t="n"/>
      <c r="F280" s="4" t="n"/>
      <c r="G280" s="4" t="n"/>
      <c r="H280" s="4" t="n"/>
      <c r="I280" s="4" t="n"/>
      <c r="J280" s="19" t="n"/>
      <c r="K280" s="19" t="n"/>
      <c r="L280" s="19" t="n"/>
      <c r="M280" s="2" t="inlineStr">
        <is>
          <t>Waiting</t>
        </is>
      </c>
      <c r="N280" s="2" t="n"/>
      <c r="O280" s="2" t="n"/>
      <c r="P280" s="2" t="n"/>
      <c r="Q280" s="28" t="n"/>
      <c r="R280" s="29" t="n"/>
      <c r="S280" s="5" t="inlineStr">
        <is>
          <t>KIPP11HAD30CL001</t>
        </is>
      </c>
      <c r="T280" s="5">
        <f>LEFT(B280,7)</f>
        <v/>
      </c>
    </row>
    <row r="281" ht="30" customFormat="1" customHeight="1" s="5">
      <c r="A281" s="17" t="n">
        <v>280</v>
      </c>
      <c r="B281" s="14" t="n"/>
      <c r="C281" s="14" t="n"/>
      <c r="D281" s="37" t="n"/>
      <c r="E281" s="4" t="n"/>
      <c r="F281" s="4" t="n"/>
      <c r="G281" s="4" t="n"/>
      <c r="H281" s="4" t="n"/>
      <c r="I281" s="4" t="n"/>
      <c r="J281" s="19" t="n"/>
      <c r="K281" s="19" t="n"/>
      <c r="L281" s="19" t="n"/>
      <c r="M281" s="2" t="inlineStr">
        <is>
          <t>Waiting</t>
        </is>
      </c>
      <c r="N281" s="2" t="n"/>
      <c r="O281" s="2" t="n"/>
      <c r="P281" s="2" t="n"/>
      <c r="Q281" s="28" t="n"/>
      <c r="R281" s="29" t="n"/>
      <c r="S281" s="5" t="inlineStr">
        <is>
          <t>KIPP11HAD30CL002</t>
        </is>
      </c>
      <c r="T281" s="5">
        <f>LEFT(B281,7)</f>
        <v/>
      </c>
    </row>
    <row r="282" ht="30" customFormat="1" customHeight="1" s="5">
      <c r="A282" s="17" t="n">
        <v>281</v>
      </c>
      <c r="B282" s="14" t="n"/>
      <c r="C282" s="14" t="n"/>
      <c r="D282" s="37" t="n"/>
      <c r="E282" s="4" t="n"/>
      <c r="F282" s="4" t="n"/>
      <c r="G282" s="4" t="n"/>
      <c r="H282" s="4" t="n"/>
      <c r="I282" s="4" t="n"/>
      <c r="J282" s="19" t="n"/>
      <c r="K282" s="19" t="n"/>
      <c r="L282" s="19" t="n"/>
      <c r="M282" s="2" t="inlineStr">
        <is>
          <t>Waiting</t>
        </is>
      </c>
      <c r="N282" s="2" t="n"/>
      <c r="O282" s="2" t="n"/>
      <c r="P282" s="2" t="n"/>
      <c r="Q282" s="28" t="n"/>
      <c r="R282" s="29" t="n"/>
      <c r="S282" s="5" t="inlineStr">
        <is>
          <t>KIPP11HAD30CL003</t>
        </is>
      </c>
      <c r="T282" s="5">
        <f>LEFT(B282,7)</f>
        <v/>
      </c>
    </row>
    <row r="283" ht="30" customFormat="1" customHeight="1" s="5">
      <c r="A283" s="17" t="n">
        <v>282</v>
      </c>
      <c r="B283" s="14" t="n"/>
      <c r="C283" s="14" t="n"/>
      <c r="D283" s="37" t="n"/>
      <c r="E283" s="4" t="n"/>
      <c r="F283" s="4" t="n"/>
      <c r="G283" s="4" t="n"/>
      <c r="H283" s="4" t="n"/>
      <c r="I283" s="4" t="n"/>
      <c r="J283" s="19" t="n"/>
      <c r="K283" s="19" t="n"/>
      <c r="L283" s="19" t="n"/>
      <c r="M283" s="2" t="inlineStr">
        <is>
          <t>Waiting</t>
        </is>
      </c>
      <c r="N283" s="2" t="n"/>
      <c r="O283" s="2" t="n"/>
      <c r="P283" s="2" t="n"/>
      <c r="Q283" s="28" t="n"/>
      <c r="R283" s="29" t="n"/>
      <c r="S283" s="5" t="inlineStr">
        <is>
          <t>KIPP11HAD10CL001</t>
        </is>
      </c>
      <c r="T283" s="5">
        <f>LEFT(B283,7)</f>
        <v/>
      </c>
    </row>
    <row r="284" ht="30" customFormat="1" customHeight="1" s="5">
      <c r="A284" s="17" t="n">
        <v>283</v>
      </c>
      <c r="B284" s="14" t="n"/>
      <c r="C284" s="14" t="n"/>
      <c r="D284" s="37" t="n"/>
      <c r="E284" s="4" t="n"/>
      <c r="F284" s="4" t="n"/>
      <c r="G284" s="4" t="n"/>
      <c r="H284" s="4" t="n"/>
      <c r="I284" s="4" t="n"/>
      <c r="J284" s="19" t="n"/>
      <c r="K284" s="19" t="n"/>
      <c r="L284" s="19" t="n"/>
      <c r="M284" s="2" t="inlineStr">
        <is>
          <t>Waiting</t>
        </is>
      </c>
      <c r="N284" s="2" t="n"/>
      <c r="O284" s="2" t="n"/>
      <c r="P284" s="2" t="n"/>
      <c r="Q284" s="28" t="n"/>
      <c r="R284" s="29" t="n"/>
      <c r="S284" s="5" t="inlineStr">
        <is>
          <t>KIPP11HAD10CL002</t>
        </is>
      </c>
      <c r="T284" s="5">
        <f>LEFT(B284,7)</f>
        <v/>
      </c>
    </row>
    <row r="285" ht="30" customFormat="1" customHeight="1" s="5">
      <c r="A285" s="17" t="n">
        <v>284</v>
      </c>
      <c r="B285" s="14" t="n"/>
      <c r="C285" s="14" t="n"/>
      <c r="D285" s="37" t="n"/>
      <c r="E285" s="4" t="n"/>
      <c r="F285" s="4" t="n"/>
      <c r="G285" s="4" t="n"/>
      <c r="H285" s="4" t="n"/>
      <c r="I285" s="4" t="n"/>
      <c r="J285" s="19" t="n"/>
      <c r="K285" s="19" t="n"/>
      <c r="L285" s="19" t="n"/>
      <c r="M285" s="2" t="inlineStr">
        <is>
          <t>Waiting</t>
        </is>
      </c>
      <c r="N285" s="2" t="n"/>
      <c r="O285" s="2" t="n"/>
      <c r="P285" s="2" t="n"/>
      <c r="Q285" s="28" t="n"/>
      <c r="R285" s="29" t="n"/>
      <c r="S285" s="5" t="inlineStr">
        <is>
          <t>KIPP11HAD10CL003</t>
        </is>
      </c>
      <c r="T285" s="5">
        <f>LEFT(B285,7)</f>
        <v/>
      </c>
    </row>
    <row r="286" ht="30" customFormat="1" customHeight="1" s="5">
      <c r="A286" s="17" t="n">
        <v>285</v>
      </c>
      <c r="B286" s="14" t="n"/>
      <c r="C286" s="14" t="n"/>
      <c r="D286" s="37" t="n"/>
      <c r="E286" s="3" t="n"/>
      <c r="F286" s="3" t="n"/>
      <c r="G286" s="4" t="n"/>
      <c r="H286" s="4" t="n"/>
      <c r="I286" s="4" t="n"/>
      <c r="J286" s="33" t="n"/>
      <c r="K286" s="33" t="n"/>
      <c r="L286" s="20" t="n"/>
      <c r="M286" s="2" t="inlineStr">
        <is>
          <t>Waiting</t>
        </is>
      </c>
      <c r="N286" s="2" t="n"/>
      <c r="O286" s="2" t="n"/>
      <c r="P286" s="2" t="n"/>
      <c r="Q286" s="28" t="n"/>
      <c r="R286" s="29" t="n"/>
      <c r="S286" s="5" t="inlineStr">
        <is>
          <t>KIPP12HAD50CL001</t>
        </is>
      </c>
      <c r="T286" s="5">
        <f>LEFT(B286,7)</f>
        <v/>
      </c>
    </row>
    <row r="287" ht="30" customFormat="1" customHeight="1" s="5">
      <c r="A287" s="17" t="n">
        <v>286</v>
      </c>
      <c r="B287" s="14" t="n"/>
      <c r="C287" s="14" t="n"/>
      <c r="D287" s="37" t="n"/>
      <c r="E287" s="3" t="n"/>
      <c r="F287" s="3" t="n"/>
      <c r="G287" s="4" t="n"/>
      <c r="H287" s="4" t="n"/>
      <c r="I287" s="4" t="n"/>
      <c r="J287" s="33" t="n"/>
      <c r="K287" s="33" t="n"/>
      <c r="L287" s="20" t="n"/>
      <c r="M287" s="2" t="inlineStr">
        <is>
          <t>Waiting</t>
        </is>
      </c>
      <c r="N287" s="2" t="n"/>
      <c r="O287" s="2" t="n"/>
      <c r="P287" s="2" t="n"/>
      <c r="Q287" s="28" t="n"/>
      <c r="R287" s="29" t="n"/>
      <c r="S287" s="5" t="inlineStr">
        <is>
          <t>KIPP12HAD50CL002</t>
        </is>
      </c>
      <c r="T287" s="5">
        <f>LEFT(B287,7)</f>
        <v/>
      </c>
    </row>
    <row r="288" ht="30" customFormat="1" customHeight="1" s="5">
      <c r="A288" s="17" t="n">
        <v>287</v>
      </c>
      <c r="B288" s="14" t="n"/>
      <c r="C288" s="14" t="n"/>
      <c r="D288" s="37" t="n"/>
      <c r="E288" s="3" t="n"/>
      <c r="F288" s="3" t="n"/>
      <c r="G288" s="4" t="n"/>
      <c r="H288" s="4" t="n"/>
      <c r="I288" s="4" t="n"/>
      <c r="J288" s="33" t="n"/>
      <c r="K288" s="33" t="n"/>
      <c r="L288" s="20" t="n"/>
      <c r="M288" s="2" t="inlineStr">
        <is>
          <t>Waiting</t>
        </is>
      </c>
      <c r="N288" s="2" t="n"/>
      <c r="O288" s="2" t="n"/>
      <c r="P288" s="2" t="n"/>
      <c r="Q288" s="28" t="n"/>
      <c r="R288" s="29" t="n"/>
      <c r="S288" s="5" t="inlineStr">
        <is>
          <t>KIPP12HAD50CL003</t>
        </is>
      </c>
      <c r="T288" s="5">
        <f>LEFT(B288,7)</f>
        <v/>
      </c>
    </row>
    <row r="289" ht="30" customFormat="1" customHeight="1" s="5">
      <c r="A289" s="17" t="n">
        <v>288</v>
      </c>
      <c r="B289" s="14" t="n"/>
      <c r="C289" s="14" t="n"/>
      <c r="D289" s="37" t="n"/>
      <c r="E289" s="3" t="n"/>
      <c r="F289" s="3" t="n"/>
      <c r="G289" s="3" t="n"/>
      <c r="H289" s="3" t="n"/>
      <c r="I289" s="4" t="n"/>
      <c r="J289" s="33" t="n"/>
      <c r="K289" s="33" t="n"/>
      <c r="L289" s="20" t="n"/>
      <c r="M289" s="2" t="inlineStr">
        <is>
          <t>Waiting</t>
        </is>
      </c>
      <c r="N289" s="2" t="n"/>
      <c r="O289" s="2" t="n"/>
      <c r="P289" s="2" t="n"/>
      <c r="Q289" s="28" t="n"/>
      <c r="R289" s="29" t="n"/>
      <c r="S289" s="5" t="inlineStr">
        <is>
          <t>KIPP12HAD30CL001</t>
        </is>
      </c>
      <c r="T289" s="5">
        <f>LEFT(B289,7)</f>
        <v/>
      </c>
    </row>
    <row r="290" ht="30" customFormat="1" customHeight="1" s="5">
      <c r="A290" s="17" t="n">
        <v>289</v>
      </c>
      <c r="B290" s="14" t="n"/>
      <c r="C290" s="14" t="n"/>
      <c r="D290" s="37" t="n"/>
      <c r="E290" s="3" t="n"/>
      <c r="F290" s="3" t="n"/>
      <c r="G290" s="3" t="n"/>
      <c r="H290" s="3" t="n"/>
      <c r="I290" s="4" t="n"/>
      <c r="J290" s="33" t="n"/>
      <c r="K290" s="33" t="n"/>
      <c r="L290" s="20" t="n"/>
      <c r="M290" s="2" t="inlineStr">
        <is>
          <t>Waiting</t>
        </is>
      </c>
      <c r="N290" s="2" t="n"/>
      <c r="O290" s="2" t="n"/>
      <c r="P290" s="2" t="n"/>
      <c r="Q290" s="28" t="n"/>
      <c r="R290" s="29" t="n"/>
      <c r="S290" s="5" t="inlineStr">
        <is>
          <t>KIPP12HAD30CL002</t>
        </is>
      </c>
      <c r="T290" s="5">
        <f>LEFT(B290,7)</f>
        <v/>
      </c>
    </row>
    <row r="291" ht="30" customFormat="1" customHeight="1" s="5">
      <c r="A291" s="17" t="n">
        <v>290</v>
      </c>
      <c r="B291" s="14" t="n"/>
      <c r="C291" s="14" t="n"/>
      <c r="D291" s="37" t="n"/>
      <c r="E291" s="3" t="n"/>
      <c r="F291" s="3" t="n"/>
      <c r="G291" s="3" t="n"/>
      <c r="H291" s="3" t="n"/>
      <c r="I291" s="4" t="n"/>
      <c r="J291" s="33" t="n"/>
      <c r="K291" s="33" t="n"/>
      <c r="L291" s="20" t="n"/>
      <c r="M291" s="2" t="inlineStr">
        <is>
          <t>Waiting</t>
        </is>
      </c>
      <c r="N291" s="2" t="n"/>
      <c r="O291" s="2" t="n"/>
      <c r="P291" s="2" t="n"/>
      <c r="Q291" s="28" t="n"/>
      <c r="R291" s="29" t="n"/>
      <c r="S291" s="5" t="inlineStr">
        <is>
          <t>KIPP12HAD30CL003</t>
        </is>
      </c>
      <c r="T291" s="5">
        <f>LEFT(B291,7)</f>
        <v/>
      </c>
    </row>
    <row r="292" ht="30" customFormat="1" customHeight="1" s="5">
      <c r="A292" s="17" t="n">
        <v>291</v>
      </c>
      <c r="B292" s="14" t="n"/>
      <c r="C292" s="14" t="n"/>
      <c r="D292" s="37" t="n"/>
      <c r="E292" s="3" t="n"/>
      <c r="F292" s="3" t="n"/>
      <c r="G292" s="3" t="n"/>
      <c r="H292" s="3" t="n"/>
      <c r="I292" s="4" t="n"/>
      <c r="J292" s="33" t="n"/>
      <c r="K292" s="33" t="n"/>
      <c r="L292" s="20" t="n"/>
      <c r="M292" s="2" t="inlineStr">
        <is>
          <t>Waiting</t>
        </is>
      </c>
      <c r="N292" s="2" t="n"/>
      <c r="O292" s="2" t="n"/>
      <c r="P292" s="2" t="n"/>
      <c r="Q292" s="28" t="n"/>
      <c r="R292" s="29" t="n"/>
      <c r="S292" s="5" t="inlineStr">
        <is>
          <t>KIPP12HAD10CL001</t>
        </is>
      </c>
      <c r="T292" s="5">
        <f>LEFT(B292,7)</f>
        <v/>
      </c>
    </row>
    <row r="293" ht="30" customFormat="1" customHeight="1" s="5">
      <c r="A293" s="17" t="n">
        <v>292</v>
      </c>
      <c r="B293" s="14" t="n"/>
      <c r="C293" s="14" t="n"/>
      <c r="D293" s="37" t="n"/>
      <c r="E293" s="3" t="n"/>
      <c r="F293" s="3" t="n"/>
      <c r="G293" s="3" t="n"/>
      <c r="H293" s="3" t="n"/>
      <c r="I293" s="4" t="n"/>
      <c r="J293" s="33" t="n"/>
      <c r="K293" s="33" t="n"/>
      <c r="L293" s="20" t="n"/>
      <c r="M293" s="2" t="inlineStr">
        <is>
          <t>Waiting</t>
        </is>
      </c>
      <c r="N293" s="2" t="n"/>
      <c r="O293" s="2" t="n"/>
      <c r="P293" s="2" t="n"/>
      <c r="Q293" s="28" t="n"/>
      <c r="R293" s="29" t="n"/>
      <c r="S293" s="5" t="inlineStr">
        <is>
          <t>KIPP12HAD10CL002</t>
        </is>
      </c>
      <c r="T293" s="5">
        <f>LEFT(B293,7)</f>
        <v/>
      </c>
    </row>
    <row r="294" ht="30" customFormat="1" customHeight="1" s="5">
      <c r="A294" s="17" t="n">
        <v>293</v>
      </c>
      <c r="B294" s="14" t="n"/>
      <c r="C294" s="14" t="n"/>
      <c r="D294" s="37" t="n"/>
      <c r="E294" s="3" t="n"/>
      <c r="F294" s="3" t="n"/>
      <c r="G294" s="3" t="n"/>
      <c r="H294" s="3" t="n"/>
      <c r="I294" s="4" t="n"/>
      <c r="J294" s="33" t="n"/>
      <c r="K294" s="33" t="n"/>
      <c r="L294" s="20" t="n"/>
      <c r="M294" s="2" t="inlineStr">
        <is>
          <t>Waiting</t>
        </is>
      </c>
      <c r="N294" s="2" t="n"/>
      <c r="O294" s="2" t="n"/>
      <c r="P294" s="2" t="n"/>
      <c r="Q294" s="28" t="n"/>
      <c r="R294" s="29" t="n"/>
      <c r="S294" s="5" t="inlineStr">
        <is>
          <t>KIPP12HAD10CL003</t>
        </is>
      </c>
      <c r="T294" s="5">
        <f>LEFT(B294,7)</f>
        <v/>
      </c>
    </row>
    <row r="295" ht="30" customFormat="1" customHeight="1" s="5">
      <c r="A295" s="17" t="n">
        <v>294</v>
      </c>
      <c r="B295" s="14" t="n"/>
      <c r="C295" s="14" t="n"/>
      <c r="D295" s="37" t="n"/>
      <c r="E295" s="3" t="n"/>
      <c r="F295" s="3" t="n"/>
      <c r="G295" s="3" t="n"/>
      <c r="H295" s="3" t="n"/>
      <c r="I295" s="4" t="n"/>
      <c r="J295" s="33" t="n"/>
      <c r="K295" s="33" t="n"/>
      <c r="L295" s="20" t="n"/>
      <c r="M295" s="2" t="inlineStr">
        <is>
          <t>Waiting</t>
        </is>
      </c>
      <c r="N295" s="2" t="n"/>
      <c r="O295" s="2" t="n"/>
      <c r="P295" s="2" t="n"/>
      <c r="Q295" s="28" t="n"/>
      <c r="R295" s="29" t="n"/>
      <c r="S295" s="5" t="inlineStr">
        <is>
          <t>KIPP12HAC25CF002</t>
        </is>
      </c>
      <c r="T295" s="5">
        <f>LEFT(B295,7)</f>
        <v/>
      </c>
    </row>
    <row r="296" ht="30" customFormat="1" customHeight="1" s="5">
      <c r="A296" s="17" t="n">
        <v>295</v>
      </c>
      <c r="B296" s="14" t="n"/>
      <c r="C296" s="14" t="n"/>
      <c r="D296" s="37" t="n"/>
      <c r="E296" s="3" t="n"/>
      <c r="F296" s="3" t="n"/>
      <c r="G296" s="3" t="n"/>
      <c r="H296" s="3" t="n"/>
      <c r="I296" s="4" t="n"/>
      <c r="J296" s="33" t="n"/>
      <c r="K296" s="33" t="n"/>
      <c r="L296" s="20" t="n"/>
      <c r="M296" s="2" t="inlineStr">
        <is>
          <t>Waiting</t>
        </is>
      </c>
      <c r="N296" s="2" t="n"/>
      <c r="O296" s="2" t="n"/>
      <c r="P296" s="2" t="n"/>
      <c r="Q296" s="28" t="n"/>
      <c r="R296" s="29" t="n"/>
      <c r="S296" s="5" t="inlineStr">
        <is>
          <t>KIPP12HAC25CF003</t>
        </is>
      </c>
      <c r="T296" s="5">
        <f>LEFT(B296,7)</f>
        <v/>
      </c>
    </row>
    <row r="297" ht="30" customFormat="1" customHeight="1" s="5">
      <c r="A297" s="17" t="n">
        <v>296</v>
      </c>
      <c r="B297" s="14" t="n"/>
      <c r="C297" s="14" t="n"/>
      <c r="D297" s="37" t="n"/>
      <c r="E297" s="3" t="n"/>
      <c r="F297" s="3" t="n"/>
      <c r="G297" s="3" t="n"/>
      <c r="H297" s="3" t="n"/>
      <c r="I297" s="4" t="n"/>
      <c r="J297" s="33" t="n"/>
      <c r="K297" s="33" t="n"/>
      <c r="L297" s="20" t="n"/>
      <c r="M297" s="2" t="inlineStr">
        <is>
          <t>Waiting</t>
        </is>
      </c>
      <c r="N297" s="2" t="n"/>
      <c r="O297" s="2" t="n"/>
      <c r="P297" s="2" t="n"/>
      <c r="Q297" s="28" t="n"/>
      <c r="R297" s="29" t="n"/>
      <c r="S297" s="5" t="inlineStr">
        <is>
          <t>KIPP12MBV21CP001</t>
        </is>
      </c>
      <c r="T297" s="5">
        <f>LEFT(B297,7)</f>
        <v/>
      </c>
    </row>
    <row r="298" ht="30" customFormat="1" customHeight="1" s="5">
      <c r="A298" s="17" t="n">
        <v>297</v>
      </c>
      <c r="B298" s="14" t="n"/>
      <c r="C298" s="14" t="n"/>
      <c r="D298" s="37" t="n"/>
      <c r="E298" s="3" t="n"/>
      <c r="F298" s="3" t="n"/>
      <c r="G298" s="3" t="n"/>
      <c r="H298" s="3" t="n"/>
      <c r="I298" s="4" t="n"/>
      <c r="J298" s="33" t="n"/>
      <c r="K298" s="33" t="n"/>
      <c r="L298" s="20" t="n"/>
      <c r="M298" s="2" t="inlineStr">
        <is>
          <t>Waiting</t>
        </is>
      </c>
      <c r="N298" s="2" t="n"/>
      <c r="O298" s="2" t="n"/>
      <c r="P298" s="2" t="n"/>
      <c r="Q298" s="28" t="n"/>
      <c r="R298" s="29" t="n"/>
      <c r="S298" s="5" t="inlineStr">
        <is>
          <t>KIPP12MBV21CP002</t>
        </is>
      </c>
      <c r="T298" s="5">
        <f>LEFT(B298,7)</f>
        <v/>
      </c>
    </row>
    <row r="299" ht="30" customFormat="1" customHeight="1" s="5">
      <c r="A299" s="17" t="n">
        <v>298</v>
      </c>
      <c r="B299" s="14" t="n"/>
      <c r="C299" s="14" t="n"/>
      <c r="D299" s="37" t="n"/>
      <c r="E299" s="3" t="n"/>
      <c r="F299" s="3" t="n"/>
      <c r="G299" s="3" t="n"/>
      <c r="H299" s="3" t="n"/>
      <c r="I299" s="4" t="n"/>
      <c r="J299" s="33" t="n"/>
      <c r="K299" s="33" t="n"/>
      <c r="L299" s="20" t="n"/>
      <c r="M299" s="2" t="inlineStr">
        <is>
          <t>Waiting</t>
        </is>
      </c>
      <c r="N299" s="2" t="n"/>
      <c r="O299" s="2" t="n"/>
      <c r="P299" s="2" t="n"/>
      <c r="Q299" s="28" t="n"/>
      <c r="R299" s="29" t="n"/>
      <c r="S299" s="5" t="inlineStr">
        <is>
          <t>KIPP12MBL61CP010</t>
        </is>
      </c>
      <c r="T299" s="5">
        <f>LEFT(B299,7)</f>
        <v/>
      </c>
    </row>
    <row r="300" ht="30" customFormat="1" customHeight="1" s="5">
      <c r="A300" s="17" t="n">
        <v>299</v>
      </c>
      <c r="B300" s="14" t="n"/>
      <c r="C300" s="14" t="n"/>
      <c r="D300" s="37" t="n"/>
      <c r="E300" s="3" t="n"/>
      <c r="F300" s="3" t="n"/>
      <c r="G300" s="3" t="n"/>
      <c r="H300" s="3" t="n"/>
      <c r="I300" s="4" t="n"/>
      <c r="J300" s="33" t="n"/>
      <c r="K300" s="33" t="n"/>
      <c r="L300" s="20" t="n"/>
      <c r="M300" s="2" t="inlineStr">
        <is>
          <t>Waiting</t>
        </is>
      </c>
      <c r="N300" s="2" t="n"/>
      <c r="O300" s="2" t="n"/>
      <c r="P300" s="2" t="n"/>
      <c r="Q300" s="28" t="n"/>
      <c r="R300" s="29" t="n"/>
      <c r="S300" s="5" t="inlineStr">
        <is>
          <t>KIPP10LCA01CP102</t>
        </is>
      </c>
      <c r="T300" s="5">
        <f>LEFT(B300,7)</f>
        <v/>
      </c>
    </row>
    <row r="301" ht="30" customFormat="1" customHeight="1" s="5">
      <c r="A301" s="17" t="n">
        <v>300</v>
      </c>
      <c r="B301" s="14" t="n"/>
      <c r="C301" s="14" t="n"/>
      <c r="D301" s="37" t="n"/>
      <c r="E301" s="3" t="n"/>
      <c r="F301" s="3" t="n"/>
      <c r="G301" s="3" t="n"/>
      <c r="H301" s="3" t="n"/>
      <c r="I301" s="4" t="n"/>
      <c r="J301" s="33" t="n"/>
      <c r="K301" s="33" t="n"/>
      <c r="L301" s="20" t="n"/>
      <c r="M301" s="2" t="inlineStr">
        <is>
          <t>Waiting</t>
        </is>
      </c>
      <c r="N301" s="2" t="n"/>
      <c r="O301" s="2" t="n"/>
      <c r="P301" s="2" t="n"/>
      <c r="Q301" s="28" t="n"/>
      <c r="R301" s="29" t="n"/>
      <c r="S301" s="5" t="inlineStr">
        <is>
          <t>KIPP10LCA02CP102</t>
        </is>
      </c>
      <c r="T301" s="5">
        <f>LEFT(B301,7)</f>
        <v/>
      </c>
    </row>
    <row r="302" ht="30" customFormat="1" customHeight="1" s="5">
      <c r="A302" s="17" t="n">
        <v>301</v>
      </c>
      <c r="B302" s="14" t="n"/>
      <c r="C302" s="14" t="n"/>
      <c r="D302" s="37" t="n"/>
      <c r="E302" s="3" t="n"/>
      <c r="F302" s="3" t="n"/>
      <c r="G302" s="3" t="n"/>
      <c r="H302" s="3" t="n"/>
      <c r="I302" s="4" t="n"/>
      <c r="J302" s="33" t="n"/>
      <c r="K302" s="33" t="n"/>
      <c r="L302" s="20" t="n"/>
      <c r="M302" s="2" t="inlineStr">
        <is>
          <t>Waiting</t>
        </is>
      </c>
      <c r="N302" s="2" t="n"/>
      <c r="O302" s="2" t="n"/>
      <c r="P302" s="2" t="n"/>
      <c r="Q302" s="28" t="n"/>
      <c r="R302" s="29" t="n"/>
      <c r="S302" s="5" t="inlineStr">
        <is>
          <t>KIPP10LCA03CP102</t>
        </is>
      </c>
      <c r="T302" s="5">
        <f>LEFT(B302,7)</f>
        <v/>
      </c>
    </row>
    <row r="303" ht="30" customFormat="1" customHeight="1" s="5">
      <c r="A303" s="17" t="n">
        <v>302</v>
      </c>
      <c r="B303" s="14" t="n"/>
      <c r="C303" s="14" t="n"/>
      <c r="D303" s="37" t="n"/>
      <c r="E303" s="3" t="n"/>
      <c r="F303" s="3" t="n"/>
      <c r="G303" s="3" t="n"/>
      <c r="H303" s="3" t="n"/>
      <c r="I303" s="4" t="n"/>
      <c r="J303" s="33" t="n"/>
      <c r="K303" s="33" t="n"/>
      <c r="L303" s="20" t="n"/>
      <c r="M303" s="2" t="inlineStr">
        <is>
          <t>Waiting</t>
        </is>
      </c>
      <c r="N303" s="2" t="n"/>
      <c r="O303" s="2" t="n"/>
      <c r="P303" s="2" t="n"/>
      <c r="Q303" s="28" t="n"/>
      <c r="R303" s="29" t="n"/>
      <c r="T303" s="5">
        <f>LEFT(B303,7)</f>
        <v/>
      </c>
    </row>
    <row r="304" ht="30" customFormat="1" customHeight="1" s="5">
      <c r="A304" s="17" t="n">
        <v>303</v>
      </c>
      <c r="B304" s="14" t="n"/>
      <c r="C304" s="14" t="n"/>
      <c r="D304" s="37" t="n"/>
      <c r="E304" s="3" t="n"/>
      <c r="F304" s="3" t="n"/>
      <c r="G304" s="3" t="n"/>
      <c r="H304" s="3" t="n"/>
      <c r="I304" s="4" t="n"/>
      <c r="J304" s="33" t="n"/>
      <c r="K304" s="33" t="n"/>
      <c r="L304" s="20" t="n"/>
      <c r="M304" s="2" t="inlineStr">
        <is>
          <t>Waiting</t>
        </is>
      </c>
      <c r="N304" s="2" t="n"/>
      <c r="O304" s="2" t="n"/>
      <c r="P304" s="2" t="n"/>
      <c r="Q304" s="28" t="n"/>
      <c r="R304" s="29" t="n"/>
      <c r="T304" s="5">
        <f>LEFT(B304,7)</f>
        <v/>
      </c>
    </row>
    <row r="305" ht="30" customFormat="1" customHeight="1" s="5">
      <c r="A305" s="17" t="n">
        <v>304</v>
      </c>
      <c r="B305" s="14" t="n"/>
      <c r="C305" s="14" t="n"/>
      <c r="D305" s="37" t="n"/>
      <c r="E305" s="3" t="n"/>
      <c r="F305" s="3" t="n"/>
      <c r="G305" s="3" t="n"/>
      <c r="H305" s="3" t="n"/>
      <c r="I305" s="4" t="n"/>
      <c r="J305" s="33" t="n"/>
      <c r="K305" s="33" t="n"/>
      <c r="L305" s="20" t="n"/>
      <c r="M305" s="2" t="inlineStr">
        <is>
          <t>Waiting</t>
        </is>
      </c>
      <c r="N305" s="2" t="n"/>
      <c r="O305" s="2" t="n"/>
      <c r="P305" s="2" t="n"/>
      <c r="Q305" s="28" t="n"/>
      <c r="R305" s="29" t="n"/>
      <c r="T305" s="5">
        <f>LEFT(B305,7)</f>
        <v/>
      </c>
    </row>
    <row r="306" ht="30" customFormat="1" customHeight="1" s="5">
      <c r="A306" s="17" t="n">
        <v>305</v>
      </c>
      <c r="B306" s="14" t="n"/>
      <c r="C306" s="14" t="n"/>
      <c r="D306" s="37" t="n"/>
      <c r="E306" s="3" t="n"/>
      <c r="F306" s="3" t="n"/>
      <c r="G306" s="3" t="n"/>
      <c r="H306" s="3" t="n"/>
      <c r="I306" s="4" t="n"/>
      <c r="J306" s="33" t="n"/>
      <c r="K306" s="33" t="n"/>
      <c r="L306" s="20" t="n"/>
      <c r="M306" s="2" t="inlineStr">
        <is>
          <t>Waiting</t>
        </is>
      </c>
      <c r="N306" s="2" t="n"/>
      <c r="O306" s="2" t="n"/>
      <c r="P306" s="2" t="n"/>
      <c r="Q306" s="28" t="n"/>
      <c r="R306" s="29" t="n"/>
      <c r="T306" s="5">
        <f>LEFT(B306,7)</f>
        <v/>
      </c>
    </row>
    <row r="307" ht="30" customFormat="1" customHeight="1" s="5">
      <c r="A307" s="17" t="n">
        <v>306</v>
      </c>
      <c r="B307" s="14" t="n"/>
      <c r="C307" s="14" t="n"/>
      <c r="D307" s="37" t="n"/>
      <c r="E307" s="3" t="n"/>
      <c r="F307" s="3" t="n"/>
      <c r="G307" s="3" t="n"/>
      <c r="H307" s="3" t="n"/>
      <c r="I307" s="4" t="n"/>
      <c r="J307" s="33" t="n"/>
      <c r="K307" s="33" t="n"/>
      <c r="L307" s="20" t="n"/>
      <c r="M307" s="2" t="inlineStr">
        <is>
          <t>Waiting</t>
        </is>
      </c>
      <c r="N307" s="2" t="n"/>
      <c r="O307" s="2" t="n"/>
      <c r="P307" s="2" t="n"/>
      <c r="Q307" s="28" t="n"/>
      <c r="R307" s="29" t="n"/>
      <c r="T307" s="5">
        <f>LEFT(B307,7)</f>
        <v/>
      </c>
    </row>
    <row r="308" ht="30" customFormat="1" customHeight="1" s="5">
      <c r="A308" s="17" t="n">
        <v>307</v>
      </c>
      <c r="B308" s="14" t="n"/>
      <c r="C308" s="14" t="n"/>
      <c r="D308" s="37" t="n"/>
      <c r="E308" s="3" t="n"/>
      <c r="F308" s="3" t="n"/>
      <c r="G308" s="3" t="n"/>
      <c r="H308" s="3" t="n"/>
      <c r="I308" s="4" t="n"/>
      <c r="J308" s="33" t="n"/>
      <c r="K308" s="33" t="n"/>
      <c r="L308" s="20" t="n"/>
      <c r="M308" s="2" t="inlineStr">
        <is>
          <t>Waiting</t>
        </is>
      </c>
      <c r="N308" s="2" t="n"/>
      <c r="O308" s="2" t="n"/>
      <c r="P308" s="2" t="n"/>
      <c r="Q308" s="28" t="n"/>
      <c r="R308" s="29" t="n"/>
      <c r="T308" s="5">
        <f>LEFT(B308,7)</f>
        <v/>
      </c>
    </row>
    <row r="309" ht="30" customFormat="1" customHeight="1" s="5">
      <c r="A309" s="17" t="n">
        <v>308</v>
      </c>
      <c r="B309" s="14" t="n"/>
      <c r="C309" s="14" t="n"/>
      <c r="D309" s="37" t="n"/>
      <c r="E309" s="3" t="n"/>
      <c r="F309" s="3" t="n"/>
      <c r="G309" s="3" t="n"/>
      <c r="H309" s="3" t="n"/>
      <c r="I309" s="4" t="n"/>
      <c r="J309" s="33" t="n"/>
      <c r="K309" s="33" t="n"/>
      <c r="L309" s="20" t="n"/>
      <c r="M309" s="2" t="inlineStr">
        <is>
          <t>Waiting</t>
        </is>
      </c>
      <c r="N309" s="2" t="n"/>
      <c r="O309" s="2" t="n"/>
      <c r="P309" s="2" t="n"/>
      <c r="Q309" s="28" t="n"/>
      <c r="R309" s="29" t="n"/>
      <c r="T309" s="5">
        <f>LEFT(B309,7)</f>
        <v/>
      </c>
    </row>
    <row r="310" ht="30" customFormat="1" customHeight="1" s="5">
      <c r="A310" s="17" t="n">
        <v>309</v>
      </c>
      <c r="B310" s="14" t="n"/>
      <c r="C310" s="14" t="n"/>
      <c r="D310" s="37" t="n"/>
      <c r="E310" s="3" t="n"/>
      <c r="F310" s="3" t="n"/>
      <c r="G310" s="3" t="n"/>
      <c r="H310" s="3" t="n"/>
      <c r="I310" s="4" t="n"/>
      <c r="J310" s="33" t="n"/>
      <c r="K310" s="33" t="n"/>
      <c r="L310" s="20" t="n"/>
      <c r="M310" s="2" t="inlineStr">
        <is>
          <t>Waiting</t>
        </is>
      </c>
      <c r="N310" s="2" t="n"/>
      <c r="O310" s="2" t="n"/>
      <c r="P310" s="2" t="n"/>
      <c r="Q310" s="28" t="n"/>
      <c r="R310" s="29" t="n"/>
      <c r="T310" s="5">
        <f>LEFT(B310,7)</f>
        <v/>
      </c>
    </row>
    <row r="311" ht="30" customFormat="1" customHeight="1" s="5">
      <c r="A311" s="17" t="n">
        <v>310</v>
      </c>
      <c r="B311" s="14" t="n"/>
      <c r="C311" s="14" t="n"/>
      <c r="D311" s="37" t="n"/>
      <c r="E311" s="3" t="n"/>
      <c r="F311" s="3" t="n"/>
      <c r="G311" s="3" t="n"/>
      <c r="H311" s="3" t="n"/>
      <c r="I311" s="4" t="n"/>
      <c r="J311" s="33" t="n"/>
      <c r="K311" s="33" t="n"/>
      <c r="L311" s="20" t="n"/>
      <c r="M311" s="2" t="inlineStr">
        <is>
          <t>Waiting</t>
        </is>
      </c>
      <c r="N311" s="2" t="n"/>
      <c r="O311" s="2" t="n"/>
      <c r="P311" s="2" t="n"/>
      <c r="Q311" s="28" t="n"/>
      <c r="R311" s="29" t="n"/>
      <c r="T311" s="5">
        <f>LEFT(B311,7)</f>
        <v/>
      </c>
    </row>
    <row r="312" ht="30" customFormat="1" customHeight="1" s="5">
      <c r="A312" s="17" t="n">
        <v>311</v>
      </c>
      <c r="B312" s="14" t="n"/>
      <c r="C312" s="14" t="n"/>
      <c r="D312" s="37" t="n"/>
      <c r="E312" s="3" t="n"/>
      <c r="F312" s="3" t="n"/>
      <c r="G312" s="3" t="n"/>
      <c r="H312" s="3" t="n"/>
      <c r="I312" s="4" t="n"/>
      <c r="J312" s="33" t="n"/>
      <c r="K312" s="33" t="n"/>
      <c r="L312" s="20" t="n"/>
      <c r="M312" s="2" t="inlineStr">
        <is>
          <t>Waiting</t>
        </is>
      </c>
      <c r="N312" s="2" t="n"/>
      <c r="O312" s="2" t="n"/>
      <c r="P312" s="2" t="n"/>
      <c r="Q312" s="28" t="n"/>
      <c r="R312" s="29" t="n"/>
      <c r="T312" s="5">
        <f>LEFT(B312,7)</f>
        <v/>
      </c>
    </row>
    <row r="313" ht="30" customFormat="1" customHeight="1" s="5">
      <c r="A313" s="17" t="n">
        <v>312</v>
      </c>
      <c r="B313" s="14" t="n"/>
      <c r="C313" s="14" t="n"/>
      <c r="D313" s="37" t="n"/>
      <c r="E313" s="3" t="n"/>
      <c r="F313" s="3" t="n"/>
      <c r="G313" s="3" t="n"/>
      <c r="H313" s="3" t="n"/>
      <c r="I313" s="4" t="n"/>
      <c r="J313" s="33" t="n"/>
      <c r="K313" s="33" t="n"/>
      <c r="L313" s="20" t="n"/>
      <c r="M313" s="2" t="inlineStr">
        <is>
          <t>Waiting</t>
        </is>
      </c>
      <c r="N313" s="2" t="n"/>
      <c r="O313" s="2" t="n"/>
      <c r="P313" s="2" t="n"/>
      <c r="Q313" s="28" t="n"/>
      <c r="R313" s="29" t="n"/>
      <c r="T313" s="5">
        <f>LEFT(B313,7)</f>
        <v/>
      </c>
    </row>
    <row r="314" ht="30" customFormat="1" customHeight="1" s="5">
      <c r="A314" s="17" t="n">
        <v>313</v>
      </c>
      <c r="B314" s="14" t="n"/>
      <c r="C314" s="14" t="n"/>
      <c r="D314" s="37" t="n"/>
      <c r="E314" s="3" t="n"/>
      <c r="F314" s="3" t="n"/>
      <c r="G314" s="3" t="n"/>
      <c r="H314" s="3" t="n"/>
      <c r="I314" s="4" t="n"/>
      <c r="J314" s="33" t="n"/>
      <c r="K314" s="33" t="n"/>
      <c r="L314" s="20" t="n"/>
      <c r="M314" s="2" t="inlineStr">
        <is>
          <t>Waiting</t>
        </is>
      </c>
      <c r="N314" s="2" t="n"/>
      <c r="O314" s="2" t="n"/>
      <c r="P314" s="2" t="n"/>
      <c r="Q314" s="28" t="n"/>
      <c r="R314" s="29" t="n"/>
      <c r="T314" s="5">
        <f>LEFT(B314,7)</f>
        <v/>
      </c>
    </row>
    <row r="315" ht="30" customFormat="1" customHeight="1" s="5">
      <c r="A315" s="17" t="n">
        <v>314</v>
      </c>
      <c r="B315" s="14" t="n"/>
      <c r="C315" s="14" t="n"/>
      <c r="D315" s="37" t="n"/>
      <c r="E315" s="3" t="n"/>
      <c r="F315" s="3" t="n"/>
      <c r="G315" s="3" t="n"/>
      <c r="H315" s="3" t="n"/>
      <c r="I315" s="4" t="n"/>
      <c r="J315" s="33" t="n"/>
      <c r="K315" s="33" t="n"/>
      <c r="L315" s="20" t="n"/>
      <c r="M315" s="2" t="inlineStr">
        <is>
          <t>Waiting</t>
        </is>
      </c>
      <c r="N315" s="2" t="n"/>
      <c r="O315" s="2" t="n"/>
      <c r="P315" s="2" t="n"/>
      <c r="Q315" s="28" t="n"/>
      <c r="R315" s="29" t="n"/>
      <c r="T315" s="5">
        <f>LEFT(B315,7)</f>
        <v/>
      </c>
    </row>
    <row r="316" ht="30" customFormat="1" customHeight="1" s="5">
      <c r="A316" s="17" t="n">
        <v>315</v>
      </c>
      <c r="B316" s="14" t="n"/>
      <c r="C316" s="14" t="n"/>
      <c r="D316" s="37" t="n"/>
      <c r="E316" s="3" t="n"/>
      <c r="F316" s="3" t="n"/>
      <c r="G316" s="3" t="n"/>
      <c r="H316" s="3" t="n"/>
      <c r="I316" s="4" t="n"/>
      <c r="J316" s="33" t="n"/>
      <c r="K316" s="33" t="n"/>
      <c r="L316" s="20" t="n"/>
      <c r="M316" s="2" t="inlineStr">
        <is>
          <t>Waiting</t>
        </is>
      </c>
      <c r="N316" s="2" t="n"/>
      <c r="O316" s="2" t="n"/>
      <c r="P316" s="2" t="n"/>
      <c r="Q316" s="28" t="n"/>
      <c r="R316" s="29" t="n"/>
    </row>
    <row r="317" ht="30" customFormat="1" customHeight="1" s="5">
      <c r="A317" s="17" t="n">
        <v>316</v>
      </c>
      <c r="B317" s="14" t="n"/>
      <c r="C317" s="14" t="n"/>
      <c r="D317" s="37" t="n"/>
      <c r="E317" s="3" t="n"/>
      <c r="F317" s="3" t="n"/>
      <c r="G317" s="3" t="n"/>
      <c r="H317" s="3" t="n"/>
      <c r="I317" s="4" t="n"/>
      <c r="J317" s="33" t="n"/>
      <c r="K317" s="33" t="n"/>
      <c r="L317" s="20" t="n"/>
      <c r="M317" s="2" t="inlineStr">
        <is>
          <t>Waiting</t>
        </is>
      </c>
      <c r="N317" s="2" t="n"/>
      <c r="O317" s="2" t="n"/>
      <c r="P317" s="2" t="n"/>
      <c r="Q317" s="28" t="n"/>
      <c r="R317" s="29" t="n"/>
    </row>
    <row r="318" ht="30" customFormat="1" customHeight="1" s="5">
      <c r="A318" s="17" t="n">
        <v>317</v>
      </c>
      <c r="B318" s="14" t="n"/>
      <c r="C318" s="14" t="n"/>
      <c r="D318" s="37" t="n"/>
      <c r="E318" s="3" t="n"/>
      <c r="F318" s="3" t="n"/>
      <c r="G318" s="3" t="n"/>
      <c r="H318" s="3" t="n"/>
      <c r="I318" s="4" t="n"/>
      <c r="J318" s="33" t="n"/>
      <c r="K318" s="33" t="n"/>
      <c r="L318" s="20" t="n"/>
      <c r="M318" s="2" t="inlineStr">
        <is>
          <t>Waiting</t>
        </is>
      </c>
      <c r="N318" s="2" t="n"/>
      <c r="O318" s="2" t="n"/>
      <c r="P318" s="2" t="n"/>
      <c r="Q318" s="28" t="n"/>
      <c r="R318" s="29" t="n"/>
    </row>
    <row r="319" ht="30" customFormat="1" customHeight="1" s="5">
      <c r="A319" s="17" t="n">
        <v>318</v>
      </c>
      <c r="B319" s="14" t="n"/>
      <c r="C319" s="14" t="n"/>
      <c r="D319" s="37" t="n"/>
      <c r="E319" s="3" t="n"/>
      <c r="F319" s="3" t="n"/>
      <c r="G319" s="3" t="n"/>
      <c r="H319" s="3" t="n"/>
      <c r="I319" s="4" t="n"/>
      <c r="J319" s="33" t="n"/>
      <c r="K319" s="33" t="n"/>
      <c r="L319" s="20" t="n"/>
      <c r="M319" s="2" t="inlineStr">
        <is>
          <t>Waiting</t>
        </is>
      </c>
      <c r="N319" s="2" t="n"/>
      <c r="O319" s="2" t="n"/>
      <c r="P319" s="2" t="n"/>
      <c r="Q319" s="28" t="n"/>
      <c r="R319" s="29" t="n"/>
    </row>
    <row r="320" ht="30" customFormat="1" customHeight="1" s="5">
      <c r="A320" s="17" t="n">
        <v>319</v>
      </c>
      <c r="B320" s="14" t="n"/>
      <c r="C320" s="14" t="n"/>
      <c r="D320" s="37" t="n"/>
      <c r="E320" s="3" t="n"/>
      <c r="F320" s="3" t="n"/>
      <c r="G320" s="3" t="n"/>
      <c r="H320" s="3" t="n"/>
      <c r="I320" s="4" t="n"/>
      <c r="J320" s="33" t="n"/>
      <c r="K320" s="33" t="n"/>
      <c r="L320" s="20" t="n"/>
      <c r="M320" s="2" t="inlineStr">
        <is>
          <t>Waiting</t>
        </is>
      </c>
      <c r="N320" s="2" t="n"/>
      <c r="O320" s="2" t="n"/>
      <c r="P320" s="2" t="n"/>
      <c r="Q320" s="28" t="n"/>
      <c r="R320" s="29" t="n"/>
    </row>
    <row r="321" ht="30" customFormat="1" customHeight="1" s="5">
      <c r="A321" s="17" t="n">
        <v>320</v>
      </c>
      <c r="B321" s="14" t="n"/>
      <c r="C321" s="14" t="n"/>
      <c r="D321" s="37" t="n"/>
      <c r="E321" s="3" t="n"/>
      <c r="F321" s="3" t="n"/>
      <c r="G321" s="3" t="n"/>
      <c r="H321" s="3" t="n"/>
      <c r="I321" s="4" t="n"/>
      <c r="J321" s="33" t="n"/>
      <c r="K321" s="33" t="n"/>
      <c r="L321" s="20" t="n"/>
      <c r="M321" s="2" t="inlineStr">
        <is>
          <t>Waiting</t>
        </is>
      </c>
      <c r="N321" s="2" t="n"/>
      <c r="O321" s="2" t="n"/>
      <c r="P321" s="2" t="n"/>
      <c r="Q321" s="28" t="n"/>
      <c r="R321" s="29" t="n"/>
    </row>
    <row r="322" ht="30" customFormat="1" customHeight="1" s="5">
      <c r="A322" s="17" t="n">
        <v>321</v>
      </c>
      <c r="B322" s="14" t="n"/>
      <c r="C322" s="14" t="n"/>
      <c r="D322" s="37" t="n"/>
      <c r="E322" s="3" t="n"/>
      <c r="F322" s="3" t="n"/>
      <c r="G322" s="3" t="n"/>
      <c r="H322" s="3" t="n"/>
      <c r="I322" s="4" t="n"/>
      <c r="J322" s="33" t="n"/>
      <c r="K322" s="33" t="n"/>
      <c r="L322" s="20" t="n"/>
      <c r="M322" s="2" t="inlineStr">
        <is>
          <t>Waiting</t>
        </is>
      </c>
      <c r="N322" s="2" t="n"/>
      <c r="O322" s="2" t="n"/>
      <c r="P322" s="2" t="n"/>
      <c r="Q322" s="28" t="n"/>
      <c r="R322" s="29" t="n"/>
    </row>
    <row r="323" ht="30" customFormat="1" customHeight="1" s="5">
      <c r="A323" s="17" t="n">
        <v>322</v>
      </c>
      <c r="B323" s="14" t="n"/>
      <c r="C323" s="14" t="n"/>
      <c r="D323" s="37" t="n"/>
      <c r="E323" s="3" t="n"/>
      <c r="F323" s="3" t="n"/>
      <c r="G323" s="3" t="n"/>
      <c r="H323" s="3" t="n"/>
      <c r="I323" s="4" t="n"/>
      <c r="J323" s="33" t="n"/>
      <c r="K323" s="33" t="n"/>
      <c r="L323" s="20" t="n"/>
      <c r="M323" s="2" t="inlineStr">
        <is>
          <t>Waiting</t>
        </is>
      </c>
      <c r="N323" s="2" t="n"/>
      <c r="O323" s="2" t="n"/>
      <c r="P323" s="2" t="n"/>
      <c r="Q323" s="28" t="n"/>
      <c r="R323" s="29" t="n"/>
    </row>
    <row r="324" ht="30" customFormat="1" customHeight="1" s="5">
      <c r="A324" s="17" t="n">
        <v>323</v>
      </c>
      <c r="B324" s="14" t="n"/>
      <c r="C324" s="14" t="n"/>
      <c r="D324" s="37" t="n"/>
      <c r="E324" s="3" t="n"/>
      <c r="F324" s="3" t="n"/>
      <c r="G324" s="3" t="n"/>
      <c r="H324" s="3" t="n"/>
      <c r="I324" s="4" t="n"/>
      <c r="J324" s="33" t="n"/>
      <c r="K324" s="33" t="n"/>
      <c r="L324" s="20" t="n"/>
      <c r="M324" s="2" t="inlineStr">
        <is>
          <t>Waiting</t>
        </is>
      </c>
      <c r="N324" s="2" t="n"/>
      <c r="O324" s="2" t="n"/>
      <c r="P324" s="2" t="n"/>
      <c r="Q324" s="28" t="n"/>
      <c r="R324" s="29" t="n"/>
      <c r="T324" s="5">
        <f>LEFT(B324,7)</f>
        <v/>
      </c>
    </row>
    <row r="325" ht="30" customFormat="1" customHeight="1" s="5">
      <c r="A325" s="17" t="n">
        <v>324</v>
      </c>
      <c r="B325" s="14" t="n"/>
      <c r="C325" s="14" t="n"/>
      <c r="D325" s="37" t="n"/>
      <c r="E325" s="3" t="n"/>
      <c r="F325" s="3" t="n"/>
      <c r="G325" s="3" t="n"/>
      <c r="H325" s="3" t="n"/>
      <c r="I325" s="4" t="n"/>
      <c r="J325" s="33" t="n"/>
      <c r="K325" s="33" t="n"/>
      <c r="L325" s="20" t="n"/>
      <c r="M325" s="2" t="inlineStr">
        <is>
          <t>Waiting</t>
        </is>
      </c>
      <c r="N325" s="2" t="n"/>
      <c r="O325" s="2" t="n"/>
      <c r="P325" s="2" t="n"/>
      <c r="Q325" s="28" t="n"/>
      <c r="R325" s="29" t="n"/>
      <c r="T325" s="5">
        <f>LEFT(B325,7)</f>
        <v/>
      </c>
    </row>
    <row r="326" ht="30" customFormat="1" customHeight="1" s="5">
      <c r="A326" s="17" t="n">
        <v>325</v>
      </c>
      <c r="B326" s="14" t="n"/>
      <c r="C326" s="14" t="n"/>
      <c r="D326" s="37" t="n"/>
      <c r="E326" s="3" t="n"/>
      <c r="F326" s="3" t="n"/>
      <c r="G326" s="3" t="n"/>
      <c r="H326" s="3" t="n"/>
      <c r="I326" s="4" t="n"/>
      <c r="J326" s="33" t="n"/>
      <c r="K326" s="33" t="n"/>
      <c r="L326" s="20" t="n"/>
      <c r="M326" s="2" t="inlineStr">
        <is>
          <t>Waiting</t>
        </is>
      </c>
      <c r="N326" s="2" t="n"/>
      <c r="O326" s="2" t="n"/>
      <c r="P326" s="2" t="n"/>
      <c r="Q326" s="28" t="n"/>
      <c r="R326" s="29" t="n"/>
      <c r="T326" s="5">
        <f>LEFT(B326,7)</f>
        <v/>
      </c>
    </row>
    <row r="327" ht="30" customFormat="1" customHeight="1" s="5">
      <c r="A327" s="17" t="n">
        <v>326</v>
      </c>
      <c r="B327" s="14" t="n"/>
      <c r="C327" s="14" t="n"/>
      <c r="D327" s="37" t="n"/>
      <c r="E327" s="3" t="n"/>
      <c r="F327" s="3" t="n"/>
      <c r="G327" s="3" t="n"/>
      <c r="H327" s="3" t="n"/>
      <c r="I327" s="4" t="n"/>
      <c r="J327" s="33" t="n"/>
      <c r="K327" s="33" t="n"/>
      <c r="L327" s="20" t="n"/>
      <c r="M327" s="2" t="inlineStr">
        <is>
          <t>Waiting</t>
        </is>
      </c>
      <c r="N327" s="2" t="n"/>
      <c r="O327" s="2" t="n"/>
      <c r="P327" s="2" t="n"/>
      <c r="Q327" s="28" t="n"/>
      <c r="R327" s="29" t="n"/>
      <c r="T327" s="5">
        <f>LEFT(B327,7)</f>
        <v/>
      </c>
    </row>
    <row r="328" ht="30" customFormat="1" customHeight="1" s="5">
      <c r="A328" s="17" t="n">
        <v>327</v>
      </c>
      <c r="B328" s="14" t="n"/>
      <c r="C328" s="14" t="n"/>
      <c r="D328" s="37" t="n"/>
      <c r="E328" s="3" t="n"/>
      <c r="F328" s="3" t="n"/>
      <c r="G328" s="3" t="n"/>
      <c r="H328" s="3" t="n"/>
      <c r="I328" s="4" t="n"/>
      <c r="J328" s="33" t="n"/>
      <c r="K328" s="33" t="n"/>
      <c r="L328" s="20" t="n"/>
      <c r="M328" s="2" t="inlineStr">
        <is>
          <t>Waiting</t>
        </is>
      </c>
      <c r="N328" s="2" t="n"/>
      <c r="O328" s="2" t="n"/>
      <c r="P328" s="2" t="n"/>
      <c r="Q328" s="28" t="n"/>
      <c r="R328" s="29" t="n"/>
      <c r="T328" s="5">
        <f>LEFT(B328,7)</f>
        <v/>
      </c>
    </row>
    <row r="329" ht="30" customFormat="1" customHeight="1" s="5">
      <c r="A329" s="17" t="n">
        <v>328</v>
      </c>
      <c r="B329" s="14" t="n"/>
      <c r="C329" s="14" t="n"/>
      <c r="D329" s="37" t="n"/>
      <c r="E329" s="3" t="n"/>
      <c r="F329" s="3" t="n"/>
      <c r="G329" s="3" t="n"/>
      <c r="H329" s="3" t="n"/>
      <c r="I329" s="4" t="n"/>
      <c r="J329" s="33" t="n"/>
      <c r="K329" s="33" t="n"/>
      <c r="L329" s="20" t="n"/>
      <c r="M329" s="2" t="inlineStr">
        <is>
          <t>Waiting</t>
        </is>
      </c>
      <c r="N329" s="2" t="n"/>
      <c r="O329" s="2" t="n"/>
      <c r="P329" s="2" t="n"/>
      <c r="Q329" s="28" t="n"/>
      <c r="R329" s="29" t="n"/>
      <c r="T329" s="5">
        <f>LEFT(B329,7)</f>
        <v/>
      </c>
    </row>
    <row r="330" ht="30" customFormat="1" customHeight="1" s="5">
      <c r="A330" s="17" t="n">
        <v>329</v>
      </c>
      <c r="B330" s="14" t="n"/>
      <c r="C330" s="14" t="n"/>
      <c r="D330" s="37" t="n"/>
      <c r="E330" s="3" t="n"/>
      <c r="F330" s="3" t="n"/>
      <c r="G330" s="3" t="n"/>
      <c r="H330" s="3" t="n"/>
      <c r="I330" s="4" t="n"/>
      <c r="J330" s="33" t="n"/>
      <c r="K330" s="33" t="n"/>
      <c r="L330" s="20" t="n"/>
      <c r="M330" s="2" t="inlineStr">
        <is>
          <t>Waiting</t>
        </is>
      </c>
      <c r="N330" s="2" t="n"/>
      <c r="O330" s="2" t="n"/>
      <c r="P330" s="2" t="n"/>
      <c r="Q330" s="28" t="n"/>
      <c r="R330" s="29" t="n"/>
      <c r="T330" s="5">
        <f>LEFT(B330,7)</f>
        <v/>
      </c>
    </row>
    <row r="331" ht="30" customFormat="1" customHeight="1" s="5">
      <c r="A331" s="17" t="n">
        <v>330</v>
      </c>
      <c r="B331" s="14" t="n"/>
      <c r="C331" s="14" t="n"/>
      <c r="D331" s="37" t="n"/>
      <c r="E331" s="3" t="n"/>
      <c r="F331" s="3" t="n"/>
      <c r="G331" s="3" t="n"/>
      <c r="H331" s="3" t="n"/>
      <c r="I331" s="4" t="n"/>
      <c r="J331" s="33" t="n"/>
      <c r="K331" s="33" t="n"/>
      <c r="L331" s="20" t="n"/>
      <c r="M331" s="2" t="inlineStr">
        <is>
          <t>Waiting</t>
        </is>
      </c>
      <c r="N331" s="2" t="n"/>
      <c r="O331" s="2" t="n"/>
      <c r="P331" s="2" t="n"/>
      <c r="Q331" s="28" t="n"/>
      <c r="R331" s="29" t="n"/>
      <c r="T331" s="5">
        <f>LEFT(B331,7)</f>
        <v/>
      </c>
    </row>
  </sheetData>
  <conditionalFormatting sqref="A2:A331">
    <cfRule type="expression" priority="5" dxfId="1">
      <formula>M2="Calibrated"</formula>
    </cfRule>
  </conditionalFormatting>
  <conditionalFormatting sqref="B2:B331">
    <cfRule type="expression" priority="3" dxfId="1">
      <formula>M2="Calibrated"</formula>
    </cfRule>
    <cfRule type="duplicateValues" priority="10" dxfId="0"/>
  </conditionalFormatting>
  <conditionalFormatting sqref="C2:C331">
    <cfRule type="expression" priority="2" dxfId="1">
      <formula>M2="Calibrated"</formula>
    </cfRule>
  </conditionalFormatting>
  <conditionalFormatting sqref="D2:D331">
    <cfRule type="expression" priority="1" dxfId="1">
      <formula>M2="Calibrated"</formula>
    </cfRule>
  </conditionalFormatting>
  <conditionalFormatting sqref="L1:L119 L124:L140 L144:L191 L195:L1048576">
    <cfRule type="duplicateValues" priority="4" dxfId="0"/>
  </conditionalFormatting>
  <dataValidations count="1">
    <dataValidation sqref="M2:M331" showDropDown="0" showInputMessage="1" showErrorMessage="1" allowBlank="0" type="list">
      <formula1>"Waiting,Calibrated"</formula1>
    </dataValidation>
  </dataValidations>
  <pageMargins left="0.25" right="0.01197916666666667" top="0.75" bottom="0.75" header="0.3" footer="0.3"/>
  <pageSetup orientation="landscape" paperSize="9" scale="46" fitToHeight="0"/>
  <headerFooter>
    <oddHeader/>
    <oddFooter>&amp;C&amp;"Calibri"&amp;10 &amp;K008000_x000d_# NOMAC | Public</oddFooter>
    <evenHeader/>
    <evenFooter/>
    <firstHeader/>
    <firstFooter/>
  </headerFooter>
  <rowBreaks count="10" manualBreakCount="10">
    <brk id="31" min="0" max="16383" man="1"/>
    <brk id="61" min="0" max="16383" man="1"/>
    <brk id="91" min="0" max="16383" man="1"/>
    <brk id="121" min="0" max="17" man="1"/>
    <brk id="151" min="0" max="17" man="1"/>
    <brk id="181" min="0" max="17" man="1"/>
    <brk id="211" min="0" max="17" man="1"/>
    <brk id="241" min="0" max="17" man="1"/>
    <brk id="271" min="0" max="17" man="1"/>
    <brk id="301" min="0" max="17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ilhan.yildiz@nomac.com</dc:creator>
  <dcterms:created xsi:type="dcterms:W3CDTF">2015-06-05T18:17:20Z</dcterms:created>
  <dcterms:modified xsi:type="dcterms:W3CDTF">2026-04-14T12:12:35Z</dcterms:modified>
  <cp:lastModifiedBy>Ilhan YILDIZ</cp:lastModifiedBy>
  <cp:lastPrinted>2023-06-06T05:19:04Z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2c56318-f430-4fb1-b1f0-e8b6e4959570_Enabled" fmtid="{D5CDD505-2E9C-101B-9397-08002B2CF9AE}" pid="2">
    <vt:lpwstr>True</vt:lpwstr>
  </property>
  <property name="MSIP_Label_b2c56318-f430-4fb1-b1f0-e8b6e4959570_SiteId" fmtid="{D5CDD505-2E9C-101B-9397-08002B2CF9AE}" pid="3">
    <vt:lpwstr>91028e45-e9d0-40a1-90b5-792a7e97eeb0</vt:lpwstr>
  </property>
  <property name="MSIP_Label_b2c56318-f430-4fb1-b1f0-e8b6e4959570_Owner" fmtid="{D5CDD505-2E9C-101B-9397-08002B2CF9AE}" pid="4">
    <vt:lpwstr>Ilhan.yildiz@nomac.com</vt:lpwstr>
  </property>
  <property name="MSIP_Label_b2c56318-f430-4fb1-b1f0-e8b6e4959570_SetDate" fmtid="{D5CDD505-2E9C-101B-9397-08002B2CF9AE}" pid="5">
    <vt:lpwstr>2021-07-04T11:09:55.5450501Z</vt:lpwstr>
  </property>
  <property name="MSIP_Label_b2c56318-f430-4fb1-b1f0-e8b6e4959570_Name" fmtid="{D5CDD505-2E9C-101B-9397-08002B2CF9AE}" pid="6">
    <vt:lpwstr>Public</vt:lpwstr>
  </property>
  <property name="MSIP_Label_b2c56318-f430-4fb1-b1f0-e8b6e4959570_Application" fmtid="{D5CDD505-2E9C-101B-9397-08002B2CF9AE}" pid="7">
    <vt:lpwstr>Microsoft Azure Information Protection</vt:lpwstr>
  </property>
  <property name="MSIP_Label_b2c56318-f430-4fb1-b1f0-e8b6e4959570_ActionId" fmtid="{D5CDD505-2E9C-101B-9397-08002B2CF9AE}" pid="8">
    <vt:lpwstr>5a5e7ff5-e1ff-492c-b7ea-ad4724eac6e6</vt:lpwstr>
  </property>
  <property name="MSIP_Label_b2c56318-f430-4fb1-b1f0-e8b6e4959570_Extended_MSFT_Method" fmtid="{D5CDD505-2E9C-101B-9397-08002B2CF9AE}" pid="9">
    <vt:lpwstr>Manual</vt:lpwstr>
  </property>
  <property name="MSIP_Label_d6981077-39ce-452b-ad32-e00ef7ed0961_Enabled" fmtid="{D5CDD505-2E9C-101B-9397-08002B2CF9AE}" pid="10">
    <vt:lpwstr>true</vt:lpwstr>
  </property>
  <property name="MSIP_Label_d6981077-39ce-452b-ad32-e00ef7ed0961_SetDate" fmtid="{D5CDD505-2E9C-101B-9397-08002B2CF9AE}" pid="11">
    <vt:lpwstr>2023-03-23T06:54:16Z</vt:lpwstr>
  </property>
  <property name="MSIP_Label_d6981077-39ce-452b-ad32-e00ef7ed0961_Method" fmtid="{D5CDD505-2E9C-101B-9397-08002B2CF9AE}" pid="12">
    <vt:lpwstr>Privileged</vt:lpwstr>
  </property>
  <property name="MSIP_Label_d6981077-39ce-452b-ad32-e00ef7ed0961_Name" fmtid="{D5CDD505-2E9C-101B-9397-08002B2CF9AE}" pid="13">
    <vt:lpwstr>NOMAC-Public</vt:lpwstr>
  </property>
  <property name="MSIP_Label_d6981077-39ce-452b-ad32-e00ef7ed0961_SiteId" fmtid="{D5CDD505-2E9C-101B-9397-08002B2CF9AE}" pid="14">
    <vt:lpwstr>058b28e4-6bda-479f-b7c3-5527c4b94031</vt:lpwstr>
  </property>
  <property name="MSIP_Label_d6981077-39ce-452b-ad32-e00ef7ed0961_ActionId" fmtid="{D5CDD505-2E9C-101B-9397-08002B2CF9AE}" pid="15">
    <vt:lpwstr>0e9e12ee-3d18-469c-a169-8ed02d6477ae</vt:lpwstr>
  </property>
  <property name="MSIP_Label_d6981077-39ce-452b-ad32-e00ef7ed0961_ContentBits" fmtid="{D5CDD505-2E9C-101B-9397-08002B2CF9AE}" pid="16">
    <vt:lpwstr>2</vt:lpwstr>
  </property>
</Properties>
</file>